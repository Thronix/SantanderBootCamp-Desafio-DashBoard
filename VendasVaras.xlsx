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025c3108d1bad2/Desktop/SantanderBootcamp/"/>
    </mc:Choice>
  </mc:AlternateContent>
  <xr:revisionPtr revIDLastSave="349" documentId="8_{CEE84A35-F807-4851-9B06-B8D4557439C2}" xr6:coauthVersionLast="47" xr6:coauthVersionMax="47" xr10:uidLastSave="{DCC6EECB-B656-404E-81CF-880C7D173C51}"/>
  <bookViews>
    <workbookView xWindow="30612" yWindow="-108" windowWidth="23256" windowHeight="12456" firstSheet="2" activeTab="2" xr2:uid="{B8F806EB-F9CC-49A0-B876-1025F2F9C00C}"/>
  </bookViews>
  <sheets>
    <sheet name="vendas" sheetId="2" state="hidden" r:id="rId1"/>
    <sheet name="calculos" sheetId="1" state="hidden" r:id="rId2"/>
    <sheet name="dashboard" sheetId="3" r:id="rId3"/>
  </sheets>
  <definedNames>
    <definedName name="DadosExternos_1" localSheetId="0" hidden="1">vendas!$A$1:$F$101</definedName>
    <definedName name="SegmentaçãodeDados_Modelo">#N/A</definedName>
  </definedNames>
  <calcPr calcId="191029"/>
  <pivotCaches>
    <pivotCache cacheId="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L3" i="3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AAA8F-41B2-4D57-B508-D3AD59F06F9C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<sst xmlns="http://schemas.openxmlformats.org/spreadsheetml/2006/main" count="238" uniqueCount="28">
  <si>
    <t>ID_Venda</t>
  </si>
  <si>
    <t>Data_Venda</t>
  </si>
  <si>
    <t>Estado</t>
  </si>
  <si>
    <t>Modelo</t>
  </si>
  <si>
    <t>Quantidade</t>
  </si>
  <si>
    <t>Preco_Unitario</t>
  </si>
  <si>
    <t>MG</t>
  </si>
  <si>
    <t>Pesado</t>
  </si>
  <si>
    <t>SP</t>
  </si>
  <si>
    <t>Leve</t>
  </si>
  <si>
    <t>Medio</t>
  </si>
  <si>
    <t>RS</t>
  </si>
  <si>
    <t>RJ</t>
  </si>
  <si>
    <t>BA</t>
  </si>
  <si>
    <t>Rótulos de Linha</t>
  </si>
  <si>
    <t>Total Geral</t>
  </si>
  <si>
    <t>Valor Total</t>
  </si>
  <si>
    <t>Soma de Valor Total</t>
  </si>
  <si>
    <t>jan</t>
  </si>
  <si>
    <t>abr</t>
  </si>
  <si>
    <t>jul</t>
  </si>
  <si>
    <t>ago</t>
  </si>
  <si>
    <t>out</t>
  </si>
  <si>
    <t>nov</t>
  </si>
  <si>
    <t>Total  Vendas Por Modelo</t>
  </si>
  <si>
    <t>Total Vendas Por Estado</t>
  </si>
  <si>
    <t>Total Vendas Por Mês</t>
  </si>
  <si>
    <t>Valor Total Por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</si>
</sst>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#,##0.00;\-&quot;R$&quot;#,##0.00"/>
    <numFmt numFmtId="44" formatCode="_-&quot;R$&quot;* #,##0.00_-;\-&quot;R$&quot;* #,##0.00_-;_-&quot;R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8" tint="-0.249977111117893"/>
      <name val="Aptos Display"/>
      <family val="2"/>
      <scheme val="major"/>
    </font>
    <font>
      <b/>
      <sz val="20"/>
      <color theme="8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2" fillId="4" borderId="0" xfId="0" applyFont="1" applyFill="1" applyAlignment="1">
      <alignment horizontal="left"/>
    </xf>
    <xf numFmtId="44" fontId="2" fillId="4" borderId="0" xfId="0" applyNumberFormat="1" applyFont="1" applyFill="1"/>
    <xf numFmtId="0" fontId="4" fillId="4" borderId="0" xfId="0" applyFont="1" applyFill="1" applyAlignment="1">
      <alignment horizontal="center"/>
    </xf>
    <xf numFmtId="7" fontId="4" fillId="4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208"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3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[VendasVaras.xlsx]calculos!vendas_mensais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684225217785739E-2"/>
          <c:y val="4.0233938149035711E-2"/>
          <c:w val="0.9501811594202898"/>
          <c:h val="0.812323005078910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calculos!$B$14:$B$20</c:f>
              <c:strCache>
                <c:ptCount val="6"/>
                <c:pt idx="0">
                  <c:v>jan</c:v>
                </c:pt>
                <c:pt idx="1">
                  <c:v>abr</c:v>
                </c:pt>
                <c:pt idx="2">
                  <c:v>jul</c:v>
                </c:pt>
                <c:pt idx="3">
                  <c:v>ago</c:v>
                </c:pt>
                <c:pt idx="4">
                  <c:v>out</c:v>
                </c:pt>
                <c:pt idx="5">
                  <c:v>nov</c:v>
                </c:pt>
              </c:strCache>
            </c:strRef>
          </c:cat>
          <c:val>
            <c:numRef>
              <c:f>calculos!$C$14:$C$20</c:f>
              <c:numCache>
                <c:formatCode>_("R$"* #,##0.00_);_("R$"* \(#,##0.00\);_("R$"* "-"??_);_(@_)</c:formatCode>
                <c:ptCount val="6"/>
                <c:pt idx="0">
                  <c:v>6600</c:v>
                </c:pt>
                <c:pt idx="1">
                  <c:v>7200</c:v>
                </c:pt>
                <c:pt idx="2">
                  <c:v>6300</c:v>
                </c:pt>
                <c:pt idx="3">
                  <c:v>1500</c:v>
                </c:pt>
                <c:pt idx="4">
                  <c:v>6300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9-4D20-955C-E8DB74D8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514256"/>
        <c:axId val="575498416"/>
      </c:barChart>
      <c:catAx>
        <c:axId val="57551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498416"/>
        <c:crosses val="autoZero"/>
        <c:auto val="1"/>
        <c:lblAlgn val="ctr"/>
        <c:lblOffset val="100"/>
        <c:noMultiLvlLbl val="0"/>
      </c:catAx>
      <c:valAx>
        <c:axId val="575498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7551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016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832485</xdr:colOff>
      <xdr:row>1</xdr:row>
      <xdr:rowOff>19051</xdr:rowOff>
    </xdr:from>
    <xdr:to>
      <xdr:col>17</xdr:col>
      <xdr:colOff>22860</xdr:colOff>
      <xdr:row>4</xdr:row>
      <xdr:rowOff>11431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9E67723A-A51D-63F7-1B42-62491B2E0016}"/>
            </a:ext>
          </a:extLst>
        </xdr:cNvPr>
        <xdr:cNvSpPr/>
      </xdr:nvSpPr>
      <xdr:spPr>
        <a:xfrm>
          <a:off x="3400425" y="209551"/>
          <a:ext cx="8951595" cy="563880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3810</xdr:colOff>
      <xdr:row>8</xdr:row>
      <xdr:rowOff>156210</xdr:rowOff>
    </xdr:from>
    <xdr:to>
      <xdr:col>16</xdr:col>
      <xdr:colOff>308610</xdr:colOff>
      <xdr:row>21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DE870F-8229-424C-8BB4-5D8B0ACD6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270518</xdr:colOff>
      <xdr:row>2</xdr:row>
      <xdr:rowOff>148590</xdr:rowOff>
    </xdr:from>
    <xdr:to>
      <xdr:col>3</xdr:col>
      <xdr:colOff>308610</xdr:colOff>
      <xdr:row>9</xdr:row>
      <xdr:rowOff>68580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7564E46-72D1-9B90-9926-D8CE806CEA29}"/>
            </a:ext>
          </a:extLst>
        </xdr:cNvPr>
        <xdr:cNvGrpSpPr/>
      </xdr:nvGrpSpPr>
      <xdr:grpSpPr>
        <a:xfrm>
          <a:off x="270518" y="529590"/>
          <a:ext cx="1706872" cy="1476375"/>
          <a:chOff x="361966" y="219075"/>
          <a:chExt cx="1866884" cy="3160381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Modelo">
                <a:extLst>
                  <a:ext uri="{FF2B5EF4-FFF2-40B4-BE49-F238E27FC236}">
                    <a16:creationId xmlns:a16="http://schemas.microsoft.com/office/drawing/2014/main" id="{AFB0C184-8F6C-49F0-925F-9CE0FA1D28F2}"/>
                  </a:ext>
                </a:extLst>
              </xdr:cNvPr>
              <xdr:cNvGraphicFramePr/>
            </xdr:nvGraphicFramePr>
            <xdr:xfrm>
              <a:off x="361966" y="714361"/>
              <a:ext cx="1866884" cy="2665095"/>
            </xdr:xfrm>
            <a:graphic>
              <a:graphicData uri="http://schemas.microsoft.com/office/drawing/2010/slicer">
                <sle:slicer xmlns:sle="http://schemas.microsoft.com/office/drawing/2010/slicer" name="Modelo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0518" y="760963"/>
                <a:ext cx="1706872" cy="124500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2B70A906-131D-CCE4-C09E-EFC06367D59C}"/>
              </a:ext>
            </a:extLst>
          </xdr:cNvPr>
          <xdr:cNvSpPr/>
        </xdr:nvSpPr>
        <xdr:spPr>
          <a:xfrm>
            <a:off x="369571" y="219075"/>
            <a:ext cx="1845944" cy="497999"/>
          </a:xfrm>
          <a:prstGeom prst="round2Same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n>
                  <a:solidFill>
                    <a:schemeClr val="accent1">
                      <a:shade val="15000"/>
                    </a:schemeClr>
                  </a:solidFill>
                </a:ln>
                <a:solidFill>
                  <a:schemeClr val="accent5">
                    <a:lumMod val="60000"/>
                    <a:lumOff val="40000"/>
                  </a:schemeClr>
                </a:solidFill>
              </a:rPr>
              <a:t>Modelos Vara</a:t>
            </a:r>
          </a:p>
        </xdr:txBody>
      </xdr:sp>
    </xdr:grpSp>
    <xdr:clientData/>
  </xdr:twoCellAnchor>
  <xdr:twoCellAnchor>
    <xdr:from>
      <xdr:col>4</xdr:col>
      <xdr:colOff>847725</xdr:colOff>
      <xdr:row>5</xdr:row>
      <xdr:rowOff>38100</xdr:rowOff>
    </xdr:from>
    <xdr:to>
      <xdr:col>7</xdr:col>
      <xdr:colOff>234315</xdr:colOff>
      <xdr:row>22</xdr:row>
      <xdr:rowOff>175260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FB0874D-0EBD-46C9-91EC-98AF2F7F1521}"/>
            </a:ext>
          </a:extLst>
        </xdr:cNvPr>
        <xdr:cNvSpPr/>
      </xdr:nvSpPr>
      <xdr:spPr>
        <a:xfrm>
          <a:off x="3552825" y="1181100"/>
          <a:ext cx="3051810" cy="3771900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342901</xdr:colOff>
      <xdr:row>5</xdr:row>
      <xdr:rowOff>3810</xdr:rowOff>
    </xdr:from>
    <xdr:to>
      <xdr:col>16</xdr:col>
      <xdr:colOff>594360</xdr:colOff>
      <xdr:row>22</xdr:row>
      <xdr:rowOff>150495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5F48D72-0121-455E-B12E-927F284D4E7C}"/>
            </a:ext>
          </a:extLst>
        </xdr:cNvPr>
        <xdr:cNvSpPr/>
      </xdr:nvSpPr>
      <xdr:spPr>
        <a:xfrm>
          <a:off x="6713221" y="1146810"/>
          <a:ext cx="5737859" cy="378142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iwamizu" refreshedDate="46034.961317476853" createdVersion="8" refreshedVersion="8" minRefreshableVersion="3" recordCount="100" xr:uid="{AA245E50-CE16-4271-8801-5B3EDE9EE596}">
  <cacheSource type="worksheet">
    <worksheetSource name="vendas"/>
  </cacheSource>
  <cacheFields count="9">
    <cacheField name="ID_Venda" numFmtId="0">
      <sharedItems containsSemiMixedTypes="0" containsString="0" containsNumber="1" containsInteger="1" minValue="1" maxValue="100"/>
    </cacheField>
    <cacheField name="Data_Venda" numFmtId="14">
      <sharedItems containsSemiMixedTypes="0" containsNonDate="0" containsDate="1" containsString="0" minDate="2025-01-05T00:00:00" maxDate="2026-01-01T00:00:00" count="94">
        <d v="2025-11-22T00:00:00"/>
        <d v="2025-05-02T00:00:00"/>
        <d v="2025-09-21T00:00:00"/>
        <d v="2025-07-19T00:00:00"/>
        <d v="2025-01-31T00:00:00"/>
        <d v="2025-03-15T00:00:00"/>
        <d v="2025-06-10T00:00:00"/>
        <d v="2025-08-25T00:00:00"/>
        <d v="2025-12-05T00:00:00"/>
        <d v="2025-04-18T00:00:00"/>
        <d v="2025-02-12T00:00:00"/>
        <d v="2025-10-07T00:00:00"/>
        <d v="2025-07-03T00:00:00"/>
        <d v="2025-09-14T00:00:00"/>
        <d v="2025-11-29T00:00:00"/>
        <d v="2025-03-22T00:00:00"/>
        <d v="2025-06-27T00:00:00"/>
        <d v="2025-08-11T00:00:00"/>
        <d v="2025-12-20T00:00:00"/>
        <d v="2025-05-15T00:00:00"/>
        <d v="2025-01-10T00:00:00"/>
        <d v="2025-02-25T00:00:00"/>
        <d v="2025-03-30T00:00:00"/>
        <d v="2025-04-12T00:00:00"/>
        <d v="2025-05-28T00:00:00"/>
        <d v="2025-06-19T00:00:00"/>
        <d v="2025-07-25T00:00:00"/>
        <d v="2025-08-14T00:00:00"/>
        <d v="2025-09-09T00:00:00"/>
        <d v="2025-10-21T00:00:00"/>
        <d v="2025-11-05T00:00:00"/>
        <d v="2025-12-18T00:00:00"/>
        <d v="2025-01-22T00:00:00"/>
        <d v="2025-02-08T00:00:00"/>
        <d v="2025-03-17T00:00:00"/>
        <d v="2025-04-29T00:00:00"/>
        <d v="2025-05-11T00:00:00"/>
        <d v="2025-06-23T00:00:00"/>
        <d v="2025-07-07T00:00:00"/>
        <d v="2025-08-19T00:00:00"/>
        <d v="2025-09-02T00:00:00"/>
        <d v="2025-10-15T00:00:00"/>
        <d v="2025-11-27T00:00:00"/>
        <d v="2025-12-09T00:00:00"/>
        <d v="2025-01-05T00:00:00"/>
        <d v="2025-02-18T00:00:00"/>
        <d v="2025-03-03T00:00:00"/>
        <d v="2025-04-16T00:00:00"/>
        <d v="2025-05-30T00:00:00"/>
        <d v="2025-06-12T00:00:00"/>
        <d v="2025-07-24T00:00:00"/>
        <d v="2025-08-06T00:00:00"/>
        <d v="2025-09-18T00:00:00"/>
        <d v="2025-10-31T00:00:00"/>
        <d v="2025-11-13T00:00:00"/>
        <d v="2025-12-26T00:00:00"/>
        <d v="2025-01-09T00:00:00"/>
        <d v="2025-02-21T00:00:00"/>
        <d v="2025-03-06T00:00:00"/>
        <d v="2025-04-19T00:00:00"/>
        <d v="2025-06-15T00:00:00"/>
        <d v="2025-07-28T00:00:00"/>
        <d v="2025-08-10T00:00:00"/>
        <d v="2025-09-23T00:00:00"/>
        <d v="2025-10-05T00:00:00"/>
        <d v="2025-11-18T00:00:00"/>
        <d v="2025-12-31T00:00:00"/>
        <d v="2025-01-14T00:00:00"/>
        <d v="2025-02-27T00:00:00"/>
        <d v="2025-03-12T00:00:00"/>
        <d v="2025-04-25T00:00:00"/>
        <d v="2025-05-08T00:00:00"/>
        <d v="2025-06-21T00:00:00"/>
        <d v="2025-07-04T00:00:00"/>
        <d v="2025-08-17T00:00:00"/>
        <d v="2025-09-29T00:00:00"/>
        <d v="2025-10-12T00:00:00"/>
        <d v="2025-11-24T00:00:00"/>
        <d v="2025-12-07T00:00:00"/>
        <d v="2025-01-20T00:00:00"/>
        <d v="2025-02-03T00:00:00"/>
        <d v="2025-03-16T00:00:00"/>
        <d v="2025-04-28T00:00:00"/>
        <d v="2025-06-24T00:00:00"/>
        <d v="2025-08-20T00:00:00"/>
        <d v="2025-11-28T00:00:00"/>
        <d v="2025-12-11T00:00:00"/>
        <d v="2025-01-24T00:00:00"/>
        <d v="2025-02-06T00:00:00"/>
        <d v="2025-03-19T00:00:00"/>
        <d v="2025-04-01T00:00:00"/>
        <d v="2025-05-14T00:00:00"/>
        <d v="2025-07-10T00:00:00"/>
        <d v="2025-08-23T00:00:00"/>
      </sharedItems>
      <fieldGroup par="8"/>
    </cacheField>
    <cacheField name="Estado" numFmtId="0">
      <sharedItems count="5">
        <s v="MG"/>
        <s v="SP"/>
        <s v="RS"/>
        <s v="RJ"/>
        <s v="BA"/>
      </sharedItems>
    </cacheField>
    <cacheField name="Modelo" numFmtId="0">
      <sharedItems count="3">
        <s v="Pesado"/>
        <s v="Leve"/>
        <s v="Medio"/>
      </sharedItems>
    </cacheField>
    <cacheField name="Quantidade" numFmtId="0">
      <sharedItems containsSemiMixedTypes="0" containsString="0" containsNumber="1" containsInteger="1" minValue="1" maxValue="5"/>
    </cacheField>
    <cacheField name="Preco_Unitario" numFmtId="44">
      <sharedItems containsSemiMixedTypes="0" containsString="0" containsNumber="1" containsInteger="1" minValue="100" maxValue="300"/>
    </cacheField>
    <cacheField name="Valor Total" numFmtId="44">
      <sharedItems containsSemiMixedTypes="0" containsString="0" containsNumber="1" containsInteger="1" minValue="100" maxValue="1500"/>
    </cacheField>
    <cacheField name="Dias (Data_Venda)" numFmtId="0" databaseField="0">
      <fieldGroup base="1">
        <rangePr groupBy="days" startDate="2025-01-05T00:00:00" endDate="2026-01-01T00:00:00"/>
        <groupItems count="368">
          <s v="&lt;0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_Venda)" numFmtId="0" databaseField="0">
      <fieldGroup base="1">
        <rangePr groupBy="months" startDate="2025-01-05T00:00:00" endDate="2026-01-01T00:00:00"/>
        <groupItems count="14">
          <s v="&lt;0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1498227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n v="1"/>
    <n v="300"/>
    <n v="300"/>
  </r>
  <r>
    <n v="2"/>
    <x v="1"/>
    <x v="1"/>
    <x v="1"/>
    <n v="4"/>
    <n v="100"/>
    <n v="400"/>
  </r>
  <r>
    <n v="3"/>
    <x v="2"/>
    <x v="1"/>
    <x v="2"/>
    <n v="2"/>
    <n v="200"/>
    <n v="400"/>
  </r>
  <r>
    <n v="4"/>
    <x v="3"/>
    <x v="2"/>
    <x v="1"/>
    <n v="4"/>
    <n v="100"/>
    <n v="400"/>
  </r>
  <r>
    <n v="5"/>
    <x v="4"/>
    <x v="1"/>
    <x v="0"/>
    <n v="2"/>
    <n v="300"/>
    <n v="600"/>
  </r>
  <r>
    <n v="6"/>
    <x v="5"/>
    <x v="3"/>
    <x v="2"/>
    <n v="3"/>
    <n v="200"/>
    <n v="600"/>
  </r>
  <r>
    <n v="7"/>
    <x v="6"/>
    <x v="4"/>
    <x v="1"/>
    <n v="5"/>
    <n v="100"/>
    <n v="500"/>
  </r>
  <r>
    <n v="8"/>
    <x v="7"/>
    <x v="0"/>
    <x v="0"/>
    <n v="1"/>
    <n v="300"/>
    <n v="300"/>
  </r>
  <r>
    <n v="9"/>
    <x v="8"/>
    <x v="2"/>
    <x v="2"/>
    <n v="2"/>
    <n v="200"/>
    <n v="400"/>
  </r>
  <r>
    <n v="10"/>
    <x v="9"/>
    <x v="3"/>
    <x v="1"/>
    <n v="3"/>
    <n v="100"/>
    <n v="300"/>
  </r>
  <r>
    <n v="11"/>
    <x v="10"/>
    <x v="1"/>
    <x v="2"/>
    <n v="1"/>
    <n v="200"/>
    <n v="200"/>
  </r>
  <r>
    <n v="12"/>
    <x v="11"/>
    <x v="0"/>
    <x v="0"/>
    <n v="4"/>
    <n v="300"/>
    <n v="1200"/>
  </r>
  <r>
    <n v="13"/>
    <x v="12"/>
    <x v="4"/>
    <x v="1"/>
    <n v="2"/>
    <n v="100"/>
    <n v="200"/>
  </r>
  <r>
    <n v="14"/>
    <x v="13"/>
    <x v="3"/>
    <x v="2"/>
    <n v="5"/>
    <n v="200"/>
    <n v="1000"/>
  </r>
  <r>
    <n v="15"/>
    <x v="14"/>
    <x v="2"/>
    <x v="0"/>
    <n v="3"/>
    <n v="300"/>
    <n v="900"/>
  </r>
  <r>
    <n v="16"/>
    <x v="15"/>
    <x v="1"/>
    <x v="1"/>
    <n v="1"/>
    <n v="100"/>
    <n v="100"/>
  </r>
  <r>
    <n v="17"/>
    <x v="16"/>
    <x v="0"/>
    <x v="2"/>
    <n v="2"/>
    <n v="200"/>
    <n v="400"/>
  </r>
  <r>
    <n v="18"/>
    <x v="17"/>
    <x v="4"/>
    <x v="0"/>
    <n v="4"/>
    <n v="300"/>
    <n v="1200"/>
  </r>
  <r>
    <n v="19"/>
    <x v="18"/>
    <x v="3"/>
    <x v="1"/>
    <n v="5"/>
    <n v="100"/>
    <n v="500"/>
  </r>
  <r>
    <n v="20"/>
    <x v="19"/>
    <x v="2"/>
    <x v="2"/>
    <n v="3"/>
    <n v="200"/>
    <n v="600"/>
  </r>
  <r>
    <n v="21"/>
    <x v="20"/>
    <x v="1"/>
    <x v="0"/>
    <n v="2"/>
    <n v="300"/>
    <n v="600"/>
  </r>
  <r>
    <n v="22"/>
    <x v="21"/>
    <x v="0"/>
    <x v="1"/>
    <n v="4"/>
    <n v="100"/>
    <n v="400"/>
  </r>
  <r>
    <n v="23"/>
    <x v="22"/>
    <x v="3"/>
    <x v="2"/>
    <n v="1"/>
    <n v="200"/>
    <n v="200"/>
  </r>
  <r>
    <n v="24"/>
    <x v="23"/>
    <x v="4"/>
    <x v="0"/>
    <n v="5"/>
    <n v="300"/>
    <n v="1500"/>
  </r>
  <r>
    <n v="25"/>
    <x v="24"/>
    <x v="2"/>
    <x v="1"/>
    <n v="3"/>
    <n v="100"/>
    <n v="300"/>
  </r>
  <r>
    <n v="26"/>
    <x v="25"/>
    <x v="1"/>
    <x v="2"/>
    <n v="2"/>
    <n v="200"/>
    <n v="400"/>
  </r>
  <r>
    <n v="27"/>
    <x v="26"/>
    <x v="0"/>
    <x v="0"/>
    <n v="1"/>
    <n v="300"/>
    <n v="300"/>
  </r>
  <r>
    <n v="28"/>
    <x v="27"/>
    <x v="3"/>
    <x v="1"/>
    <n v="4"/>
    <n v="100"/>
    <n v="400"/>
  </r>
  <r>
    <n v="29"/>
    <x v="28"/>
    <x v="4"/>
    <x v="2"/>
    <n v="3"/>
    <n v="200"/>
    <n v="600"/>
  </r>
  <r>
    <n v="30"/>
    <x v="29"/>
    <x v="2"/>
    <x v="0"/>
    <n v="2"/>
    <n v="300"/>
    <n v="600"/>
  </r>
  <r>
    <n v="31"/>
    <x v="30"/>
    <x v="1"/>
    <x v="1"/>
    <n v="5"/>
    <n v="100"/>
    <n v="500"/>
  </r>
  <r>
    <n v="32"/>
    <x v="31"/>
    <x v="0"/>
    <x v="2"/>
    <n v="4"/>
    <n v="200"/>
    <n v="800"/>
  </r>
  <r>
    <n v="33"/>
    <x v="32"/>
    <x v="3"/>
    <x v="0"/>
    <n v="3"/>
    <n v="300"/>
    <n v="900"/>
  </r>
  <r>
    <n v="34"/>
    <x v="33"/>
    <x v="4"/>
    <x v="1"/>
    <n v="2"/>
    <n v="100"/>
    <n v="200"/>
  </r>
  <r>
    <n v="35"/>
    <x v="34"/>
    <x v="2"/>
    <x v="2"/>
    <n v="1"/>
    <n v="200"/>
    <n v="200"/>
  </r>
  <r>
    <n v="36"/>
    <x v="35"/>
    <x v="1"/>
    <x v="0"/>
    <n v="4"/>
    <n v="300"/>
    <n v="1200"/>
  </r>
  <r>
    <n v="37"/>
    <x v="36"/>
    <x v="0"/>
    <x v="1"/>
    <n v="3"/>
    <n v="100"/>
    <n v="300"/>
  </r>
  <r>
    <n v="38"/>
    <x v="37"/>
    <x v="3"/>
    <x v="2"/>
    <n v="2"/>
    <n v="200"/>
    <n v="400"/>
  </r>
  <r>
    <n v="39"/>
    <x v="38"/>
    <x v="4"/>
    <x v="0"/>
    <n v="5"/>
    <n v="300"/>
    <n v="1500"/>
  </r>
  <r>
    <n v="40"/>
    <x v="39"/>
    <x v="2"/>
    <x v="1"/>
    <n v="1"/>
    <n v="100"/>
    <n v="100"/>
  </r>
  <r>
    <n v="41"/>
    <x v="40"/>
    <x v="1"/>
    <x v="2"/>
    <n v="4"/>
    <n v="200"/>
    <n v="800"/>
  </r>
  <r>
    <n v="42"/>
    <x v="41"/>
    <x v="0"/>
    <x v="0"/>
    <n v="2"/>
    <n v="300"/>
    <n v="600"/>
  </r>
  <r>
    <n v="43"/>
    <x v="42"/>
    <x v="3"/>
    <x v="1"/>
    <n v="3"/>
    <n v="100"/>
    <n v="300"/>
  </r>
  <r>
    <n v="44"/>
    <x v="43"/>
    <x v="4"/>
    <x v="2"/>
    <n v="5"/>
    <n v="200"/>
    <n v="1000"/>
  </r>
  <r>
    <n v="45"/>
    <x v="44"/>
    <x v="2"/>
    <x v="0"/>
    <n v="1"/>
    <n v="300"/>
    <n v="300"/>
  </r>
  <r>
    <n v="46"/>
    <x v="45"/>
    <x v="1"/>
    <x v="1"/>
    <n v="4"/>
    <n v="100"/>
    <n v="400"/>
  </r>
  <r>
    <n v="47"/>
    <x v="46"/>
    <x v="0"/>
    <x v="2"/>
    <n v="2"/>
    <n v="200"/>
    <n v="400"/>
  </r>
  <r>
    <n v="48"/>
    <x v="47"/>
    <x v="3"/>
    <x v="0"/>
    <n v="3"/>
    <n v="300"/>
    <n v="900"/>
  </r>
  <r>
    <n v="49"/>
    <x v="48"/>
    <x v="4"/>
    <x v="1"/>
    <n v="5"/>
    <n v="100"/>
    <n v="500"/>
  </r>
  <r>
    <n v="50"/>
    <x v="49"/>
    <x v="2"/>
    <x v="2"/>
    <n v="1"/>
    <n v="200"/>
    <n v="200"/>
  </r>
  <r>
    <n v="51"/>
    <x v="50"/>
    <x v="1"/>
    <x v="0"/>
    <n v="4"/>
    <n v="300"/>
    <n v="1200"/>
  </r>
  <r>
    <n v="52"/>
    <x v="51"/>
    <x v="0"/>
    <x v="1"/>
    <n v="2"/>
    <n v="100"/>
    <n v="200"/>
  </r>
  <r>
    <n v="53"/>
    <x v="52"/>
    <x v="3"/>
    <x v="2"/>
    <n v="3"/>
    <n v="200"/>
    <n v="600"/>
  </r>
  <r>
    <n v="54"/>
    <x v="53"/>
    <x v="4"/>
    <x v="0"/>
    <n v="5"/>
    <n v="300"/>
    <n v="1500"/>
  </r>
  <r>
    <n v="55"/>
    <x v="54"/>
    <x v="2"/>
    <x v="1"/>
    <n v="1"/>
    <n v="100"/>
    <n v="100"/>
  </r>
  <r>
    <n v="56"/>
    <x v="55"/>
    <x v="1"/>
    <x v="2"/>
    <n v="4"/>
    <n v="200"/>
    <n v="800"/>
  </r>
  <r>
    <n v="57"/>
    <x v="56"/>
    <x v="0"/>
    <x v="0"/>
    <n v="2"/>
    <n v="300"/>
    <n v="600"/>
  </r>
  <r>
    <n v="58"/>
    <x v="57"/>
    <x v="3"/>
    <x v="1"/>
    <n v="3"/>
    <n v="100"/>
    <n v="300"/>
  </r>
  <r>
    <n v="59"/>
    <x v="58"/>
    <x v="4"/>
    <x v="2"/>
    <n v="5"/>
    <n v="200"/>
    <n v="1000"/>
  </r>
  <r>
    <n v="60"/>
    <x v="59"/>
    <x v="2"/>
    <x v="0"/>
    <n v="1"/>
    <n v="300"/>
    <n v="300"/>
  </r>
  <r>
    <n v="61"/>
    <x v="1"/>
    <x v="1"/>
    <x v="1"/>
    <n v="4"/>
    <n v="100"/>
    <n v="400"/>
  </r>
  <r>
    <n v="62"/>
    <x v="60"/>
    <x v="0"/>
    <x v="2"/>
    <n v="2"/>
    <n v="200"/>
    <n v="400"/>
  </r>
  <r>
    <n v="63"/>
    <x v="61"/>
    <x v="3"/>
    <x v="0"/>
    <n v="3"/>
    <n v="300"/>
    <n v="900"/>
  </r>
  <r>
    <n v="64"/>
    <x v="62"/>
    <x v="4"/>
    <x v="1"/>
    <n v="5"/>
    <n v="100"/>
    <n v="500"/>
  </r>
  <r>
    <n v="65"/>
    <x v="63"/>
    <x v="2"/>
    <x v="2"/>
    <n v="1"/>
    <n v="200"/>
    <n v="200"/>
  </r>
  <r>
    <n v="66"/>
    <x v="64"/>
    <x v="1"/>
    <x v="0"/>
    <n v="4"/>
    <n v="300"/>
    <n v="1200"/>
  </r>
  <r>
    <n v="67"/>
    <x v="65"/>
    <x v="0"/>
    <x v="1"/>
    <n v="2"/>
    <n v="100"/>
    <n v="200"/>
  </r>
  <r>
    <n v="68"/>
    <x v="66"/>
    <x v="3"/>
    <x v="2"/>
    <n v="3"/>
    <n v="200"/>
    <n v="600"/>
  </r>
  <r>
    <n v="69"/>
    <x v="67"/>
    <x v="4"/>
    <x v="0"/>
    <n v="5"/>
    <n v="300"/>
    <n v="1500"/>
  </r>
  <r>
    <n v="70"/>
    <x v="68"/>
    <x v="2"/>
    <x v="1"/>
    <n v="1"/>
    <n v="100"/>
    <n v="100"/>
  </r>
  <r>
    <n v="71"/>
    <x v="69"/>
    <x v="1"/>
    <x v="2"/>
    <n v="4"/>
    <n v="200"/>
    <n v="800"/>
  </r>
  <r>
    <n v="72"/>
    <x v="70"/>
    <x v="0"/>
    <x v="0"/>
    <n v="2"/>
    <n v="300"/>
    <n v="600"/>
  </r>
  <r>
    <n v="73"/>
    <x v="71"/>
    <x v="3"/>
    <x v="1"/>
    <n v="3"/>
    <n v="100"/>
    <n v="300"/>
  </r>
  <r>
    <n v="74"/>
    <x v="72"/>
    <x v="4"/>
    <x v="2"/>
    <n v="5"/>
    <n v="200"/>
    <n v="1000"/>
  </r>
  <r>
    <n v="75"/>
    <x v="73"/>
    <x v="2"/>
    <x v="0"/>
    <n v="1"/>
    <n v="300"/>
    <n v="300"/>
  </r>
  <r>
    <n v="76"/>
    <x v="74"/>
    <x v="1"/>
    <x v="1"/>
    <n v="4"/>
    <n v="100"/>
    <n v="400"/>
  </r>
  <r>
    <n v="77"/>
    <x v="75"/>
    <x v="0"/>
    <x v="2"/>
    <n v="2"/>
    <n v="200"/>
    <n v="400"/>
  </r>
  <r>
    <n v="78"/>
    <x v="76"/>
    <x v="3"/>
    <x v="0"/>
    <n v="3"/>
    <n v="300"/>
    <n v="900"/>
  </r>
  <r>
    <n v="79"/>
    <x v="77"/>
    <x v="4"/>
    <x v="1"/>
    <n v="5"/>
    <n v="100"/>
    <n v="500"/>
  </r>
  <r>
    <n v="80"/>
    <x v="78"/>
    <x v="2"/>
    <x v="2"/>
    <n v="1"/>
    <n v="200"/>
    <n v="200"/>
  </r>
  <r>
    <n v="81"/>
    <x v="79"/>
    <x v="1"/>
    <x v="0"/>
    <n v="4"/>
    <n v="300"/>
    <n v="1200"/>
  </r>
  <r>
    <n v="82"/>
    <x v="80"/>
    <x v="0"/>
    <x v="1"/>
    <n v="2"/>
    <n v="100"/>
    <n v="200"/>
  </r>
  <r>
    <n v="83"/>
    <x v="81"/>
    <x v="3"/>
    <x v="2"/>
    <n v="3"/>
    <n v="200"/>
    <n v="600"/>
  </r>
  <r>
    <n v="84"/>
    <x v="82"/>
    <x v="4"/>
    <x v="0"/>
    <n v="5"/>
    <n v="300"/>
    <n v="1500"/>
  </r>
  <r>
    <n v="85"/>
    <x v="36"/>
    <x v="2"/>
    <x v="1"/>
    <n v="1"/>
    <n v="100"/>
    <n v="100"/>
  </r>
  <r>
    <n v="86"/>
    <x v="83"/>
    <x v="1"/>
    <x v="2"/>
    <n v="4"/>
    <n v="200"/>
    <n v="800"/>
  </r>
  <r>
    <n v="87"/>
    <x v="38"/>
    <x v="0"/>
    <x v="0"/>
    <n v="2"/>
    <n v="300"/>
    <n v="600"/>
  </r>
  <r>
    <n v="88"/>
    <x v="84"/>
    <x v="3"/>
    <x v="1"/>
    <n v="3"/>
    <n v="100"/>
    <n v="300"/>
  </r>
  <r>
    <n v="89"/>
    <x v="40"/>
    <x v="4"/>
    <x v="2"/>
    <n v="5"/>
    <n v="200"/>
    <n v="1000"/>
  </r>
  <r>
    <n v="90"/>
    <x v="41"/>
    <x v="2"/>
    <x v="0"/>
    <n v="1"/>
    <n v="300"/>
    <n v="300"/>
  </r>
  <r>
    <n v="91"/>
    <x v="85"/>
    <x v="1"/>
    <x v="1"/>
    <n v="4"/>
    <n v="100"/>
    <n v="400"/>
  </r>
  <r>
    <n v="92"/>
    <x v="86"/>
    <x v="0"/>
    <x v="2"/>
    <n v="2"/>
    <n v="200"/>
    <n v="400"/>
  </r>
  <r>
    <n v="93"/>
    <x v="87"/>
    <x v="3"/>
    <x v="0"/>
    <n v="3"/>
    <n v="300"/>
    <n v="900"/>
  </r>
  <r>
    <n v="94"/>
    <x v="88"/>
    <x v="4"/>
    <x v="1"/>
    <n v="5"/>
    <n v="100"/>
    <n v="500"/>
  </r>
  <r>
    <n v="95"/>
    <x v="89"/>
    <x v="2"/>
    <x v="2"/>
    <n v="1"/>
    <n v="200"/>
    <n v="200"/>
  </r>
  <r>
    <n v="96"/>
    <x v="90"/>
    <x v="1"/>
    <x v="0"/>
    <n v="4"/>
    <n v="300"/>
    <n v="1200"/>
  </r>
  <r>
    <n v="97"/>
    <x v="91"/>
    <x v="0"/>
    <x v="1"/>
    <n v="2"/>
    <n v="100"/>
    <n v="200"/>
  </r>
  <r>
    <n v="98"/>
    <x v="16"/>
    <x v="3"/>
    <x v="2"/>
    <n v="3"/>
    <n v="200"/>
    <n v="600"/>
  </r>
  <r>
    <n v="99"/>
    <x v="92"/>
    <x v="4"/>
    <x v="0"/>
    <n v="5"/>
    <n v="300"/>
    <n v="1500"/>
  </r>
  <r>
    <n v="100"/>
    <x v="93"/>
    <x v="2"/>
    <x v="1"/>
    <n v="1"/>
    <n v="1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03158-732F-4140-A8EB-DB2F4E621A15}" name="vendas_mensai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3:C20" firstHeaderRow="1" firstDataRow="1" firstDataCol="1" rowPageCount="1" colPageCount="1"/>
  <pivotFields count="9">
    <pivotField showAll="0"/>
    <pivotField numFmtId="14" showAll="0">
      <items count="95">
        <item x="44"/>
        <item x="56"/>
        <item x="20"/>
        <item x="67"/>
        <item x="79"/>
        <item x="32"/>
        <item x="87"/>
        <item x="4"/>
        <item x="80"/>
        <item x="88"/>
        <item x="33"/>
        <item x="10"/>
        <item x="45"/>
        <item x="57"/>
        <item x="21"/>
        <item x="68"/>
        <item x="46"/>
        <item x="58"/>
        <item x="69"/>
        <item x="5"/>
        <item x="81"/>
        <item x="34"/>
        <item x="89"/>
        <item x="15"/>
        <item x="22"/>
        <item x="90"/>
        <item x="23"/>
        <item x="47"/>
        <item x="9"/>
        <item x="59"/>
        <item x="70"/>
        <item x="82"/>
        <item x="35"/>
        <item x="1"/>
        <item x="71"/>
        <item x="36"/>
        <item x="91"/>
        <item x="19"/>
        <item x="24"/>
        <item x="48"/>
        <item x="6"/>
        <item x="49"/>
        <item x="60"/>
        <item x="25"/>
        <item x="72"/>
        <item x="37"/>
        <item x="83"/>
        <item x="16"/>
        <item x="12"/>
        <item x="73"/>
        <item x="38"/>
        <item x="92"/>
        <item x="3"/>
        <item x="50"/>
        <item x="26"/>
        <item x="61"/>
        <item x="51"/>
        <item x="62"/>
        <item x="17"/>
        <item x="27"/>
        <item x="74"/>
        <item x="39"/>
        <item x="84"/>
        <item x="93"/>
        <item x="7"/>
        <item x="40"/>
        <item x="28"/>
        <item x="13"/>
        <item x="52"/>
        <item x="2"/>
        <item x="63"/>
        <item x="75"/>
        <item x="64"/>
        <item x="11"/>
        <item x="76"/>
        <item x="41"/>
        <item x="29"/>
        <item x="53"/>
        <item x="30"/>
        <item x="54"/>
        <item x="65"/>
        <item x="0"/>
        <item x="77"/>
        <item x="42"/>
        <item x="85"/>
        <item x="14"/>
        <item x="8"/>
        <item x="78"/>
        <item x="43"/>
        <item x="86"/>
        <item x="31"/>
        <item x="18"/>
        <item x="55"/>
        <item x="66"/>
        <item t="default"/>
      </items>
    </pivotField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 v="1"/>
    </i>
    <i>
      <x v="4"/>
    </i>
    <i>
      <x v="7"/>
    </i>
    <i>
      <x v="8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Soma de Valor Total" fld="6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108A8-22EA-4262-8D79-2878F332318A}" name="Vendas_por_estad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9" firstHeaderRow="1" firstDataRow="1" firstDataCol="1" rowPageCount="1" colPageCount="1"/>
  <pivotFields count="9">
    <pivotField showAll="0"/>
    <pivotField numFmtId="14" showAll="0">
      <items count="95">
        <item x="44"/>
        <item x="56"/>
        <item x="20"/>
        <item x="67"/>
        <item x="79"/>
        <item x="32"/>
        <item x="87"/>
        <item x="4"/>
        <item x="80"/>
        <item x="88"/>
        <item x="33"/>
        <item x="10"/>
        <item x="45"/>
        <item x="57"/>
        <item x="21"/>
        <item x="68"/>
        <item x="46"/>
        <item x="58"/>
        <item x="69"/>
        <item x="5"/>
        <item x="81"/>
        <item x="34"/>
        <item x="89"/>
        <item x="15"/>
        <item x="22"/>
        <item x="90"/>
        <item x="23"/>
        <item x="47"/>
        <item x="9"/>
        <item x="59"/>
        <item x="70"/>
        <item x="82"/>
        <item x="35"/>
        <item x="1"/>
        <item x="71"/>
        <item x="36"/>
        <item x="91"/>
        <item x="19"/>
        <item x="24"/>
        <item x="48"/>
        <item x="6"/>
        <item x="49"/>
        <item x="60"/>
        <item x="25"/>
        <item x="72"/>
        <item x="37"/>
        <item x="83"/>
        <item x="16"/>
        <item x="12"/>
        <item x="73"/>
        <item x="38"/>
        <item x="92"/>
        <item x="3"/>
        <item x="50"/>
        <item x="26"/>
        <item x="61"/>
        <item x="51"/>
        <item x="62"/>
        <item x="17"/>
        <item x="27"/>
        <item x="74"/>
        <item x="39"/>
        <item x="84"/>
        <item x="93"/>
        <item x="7"/>
        <item x="40"/>
        <item x="28"/>
        <item x="13"/>
        <item x="52"/>
        <item x="2"/>
        <item x="63"/>
        <item x="75"/>
        <item x="64"/>
        <item x="11"/>
        <item x="76"/>
        <item x="41"/>
        <item x="29"/>
        <item x="53"/>
        <item x="30"/>
        <item x="54"/>
        <item x="65"/>
        <item x="0"/>
        <item x="77"/>
        <item x="42"/>
        <item x="85"/>
        <item x="14"/>
        <item x="8"/>
        <item x="78"/>
        <item x="43"/>
        <item x="86"/>
        <item x="31"/>
        <item x="18"/>
        <item x="55"/>
        <item x="66"/>
        <item t="default"/>
      </items>
    </pivotField>
    <pivotField axis="axisRow" showAll="0">
      <items count="6">
        <item x="4"/>
        <item x="0"/>
        <item x="3"/>
        <item x="2"/>
        <item x="1"/>
        <item t="default"/>
      </items>
    </pivotField>
    <pivotField axis="axisPage" multipleItemSelectionAllowed="1" showAll="0">
      <items count="4">
        <item h="1" x="1"/>
        <item h="1" x="2"/>
        <item x="0"/>
        <item t="default"/>
      </items>
    </pivotField>
    <pivotField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oma de Valor Total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DE373-75D9-4519-95EF-7320FFA24EC1}" name="Tabela dinâmica4" cacheId="4" applyNumberFormats="0" applyBorderFormats="0" applyFontFormats="0" applyPatternFormats="0" applyAlignmentFormats="0" applyWidthHeightFormats="1" dataCaption="Valores" updatedVersion="8" minRefreshableVersion="3" showDataTips="0" useAutoFormatting="1" itemPrintTitles="1" createdVersion="8" indent="0" showHeaders="0" outline="1" outlineData="1" multipleFieldFilters="0">
  <location ref="F11:G17" firstHeaderRow="1" firstDataRow="1" firstDataCol="1"/>
  <pivotFields count="9">
    <pivotField showAll="0"/>
    <pivotField numFmtId="14" showAll="0">
      <items count="95">
        <item x="44"/>
        <item x="56"/>
        <item x="20"/>
        <item x="67"/>
        <item x="79"/>
        <item x="32"/>
        <item x="87"/>
        <item x="4"/>
        <item x="80"/>
        <item x="88"/>
        <item x="33"/>
        <item x="10"/>
        <item x="45"/>
        <item x="57"/>
        <item x="21"/>
        <item x="68"/>
        <item x="46"/>
        <item x="58"/>
        <item x="69"/>
        <item x="5"/>
        <item x="81"/>
        <item x="34"/>
        <item x="89"/>
        <item x="15"/>
        <item x="22"/>
        <item x="90"/>
        <item x="23"/>
        <item x="47"/>
        <item x="9"/>
        <item x="59"/>
        <item x="70"/>
        <item x="82"/>
        <item x="35"/>
        <item x="1"/>
        <item x="71"/>
        <item x="36"/>
        <item x="91"/>
        <item x="19"/>
        <item x="24"/>
        <item x="48"/>
        <item x="6"/>
        <item x="49"/>
        <item x="60"/>
        <item x="25"/>
        <item x="72"/>
        <item x="37"/>
        <item x="83"/>
        <item x="16"/>
        <item x="12"/>
        <item x="73"/>
        <item x="38"/>
        <item x="92"/>
        <item x="3"/>
        <item x="50"/>
        <item x="26"/>
        <item x="61"/>
        <item x="51"/>
        <item x="62"/>
        <item x="17"/>
        <item x="27"/>
        <item x="74"/>
        <item x="39"/>
        <item x="84"/>
        <item x="93"/>
        <item x="7"/>
        <item x="40"/>
        <item x="28"/>
        <item x="13"/>
        <item x="52"/>
        <item x="2"/>
        <item x="63"/>
        <item x="75"/>
        <item x="64"/>
        <item x="11"/>
        <item x="76"/>
        <item x="41"/>
        <item x="29"/>
        <item x="53"/>
        <item x="30"/>
        <item x="54"/>
        <item x="65"/>
        <item x="0"/>
        <item x="77"/>
        <item x="42"/>
        <item x="85"/>
        <item x="14"/>
        <item x="8"/>
        <item x="78"/>
        <item x="43"/>
        <item x="86"/>
        <item x="31"/>
        <item x="18"/>
        <item x="55"/>
        <item x="66"/>
        <item t="default"/>
      </items>
    </pivotField>
    <pivotField axis="axisRow" showAll="0">
      <items count="6">
        <item x="4"/>
        <item x="0"/>
        <item x="3"/>
        <item x="2"/>
        <item x="1"/>
        <item t="default"/>
      </items>
    </pivotField>
    <pivotField compact="0" multipleItemSelectionAllowed="1" showAll="0">
      <items count="4">
        <item h="1" x="1"/>
        <item h="1" x="2"/>
        <item x="0"/>
        <item t="default"/>
      </items>
    </pivotField>
    <pivotField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lor Total Por Estado" fld="6" baseField="0" baseItem="0" numFmtId="44"/>
  </dataFields>
  <formats count="17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2" type="button" dataOnly="0" labelOnly="1" outline="0" axis="axisRow" fieldPosition="0"/>
    </format>
    <format dxfId="200">
      <pivotArea dataOnly="0" labelOnly="1" fieldPosition="0">
        <references count="1">
          <reference field="2" count="0"/>
        </references>
      </pivotArea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2" type="button" dataOnly="0" labelOnly="1" outline="0" axis="axisRow" fieldPosition="0"/>
    </format>
    <format dxfId="194">
      <pivotArea dataOnly="0" labelOnly="1" fieldPosition="0">
        <references count="1">
          <reference field="2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fieldPosition="0">
        <references count="1">
          <reference field="2" count="0"/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AA33335-0971-4684-B6C0-7EA3738BD1C5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ID_Venda" tableColumnId="1"/>
      <queryTableField id="2" name="Data_Venda" tableColumnId="2"/>
      <queryTableField id="3" name="Estado" tableColumnId="3"/>
      <queryTableField id="4" name="Modelo" tableColumnId="4"/>
      <queryTableField id="5" name="Quantidade" tableColumnId="5"/>
      <queryTableField id="6" name="Preco_Unitario" tableColumnId="6"/>
      <queryTableField id="8" dataBound="0" tableColumnId="8"/>
    </queryTableFields>
    <queryTableDeletedFields count="1">
      <deletedField name="Valor_Total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elo" xr10:uid="{852673A4-1DD0-41ED-B9BD-8D45461AC7E1}" sourceName="Modelo">
  <pivotTables>
    <pivotTable tabId="1" name="vendas_mensais"/>
    <pivotTable tabId="1" name="Vendas_por_estado"/>
    <pivotTable tabId="3" name="Tabela dinâmica4"/>
  </pivotTables>
  <data>
    <tabular pivotCacheId="1498227296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" xr10:uid="{704C1075-6B67-4F4E-AB6E-AD3ED2AA4040}" cache="SegmentaçãodeDados_Modelo" caption="Modelo" showCaption="0" style="SlicerStyleLight5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5BDA1-B1C7-4361-BC9E-0388DC209074}" name="vendas" displayName="vendas" ref="A1:G101" tableType="queryTable" totalsRowShown="0">
  <autoFilter ref="A1:G101" xr:uid="{E3B5BDA1-B1C7-4361-BC9E-0388DC209074}">
    <filterColumn colId="3">
      <filters>
        <filter val="Medio"/>
      </filters>
    </filterColumn>
  </autoFilter>
  <tableColumns count="7">
    <tableColumn id="1" xr3:uid="{BB3008D8-AAD8-4686-9EA5-CFFF2239C54E}" uniqueName="1" name="ID_Venda" queryTableFieldId="1"/>
    <tableColumn id="2" xr3:uid="{7F0AECAA-5862-4653-8AD3-89AAF2B54298}" uniqueName="2" name="Data_Venda" queryTableFieldId="2" dataDxfId="207"/>
    <tableColumn id="3" xr3:uid="{FF10B88B-919D-4256-9291-00A65379D0D6}" uniqueName="3" name="Estado" queryTableFieldId="3" dataDxfId="206"/>
    <tableColumn id="4" xr3:uid="{BE9F927A-D062-4E26-B614-DDF69BBE7B9C}" uniqueName="4" name="Modelo" queryTableFieldId="4" dataDxfId="205"/>
    <tableColumn id="5" xr3:uid="{3B7CEEE8-E965-4B4E-A215-7AD0CF8057BC}" uniqueName="5" name="Quantidade" queryTableFieldId="5"/>
    <tableColumn id="6" xr3:uid="{BD6BB805-1F88-41C6-8F93-60529A332760}" uniqueName="6" name="Preco_Unitario" queryTableFieldId="6" dataCellStyle="Moeda"/>
    <tableColumn id="8" xr3:uid="{5678EF56-9EDF-4DA8-8CB8-B8F3DAC6DFDE}" uniqueName="8" name="Valor Total" queryTableFieldId="8" dataDxfId="204">
      <calculatedColumnFormula>vendas[[#This Row],[Quantidade]]*vendas[[#This Row],[Preco_Unitario]]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8F12-A3BC-40CE-A7D3-A908B3FA90E6}">
  <dimension ref="A1:G101"/>
  <sheetViews>
    <sheetView workbookViewId="0">
      <selection activeCell="G2" sqref="G2:G101"/>
    </sheetView>
  </sheetViews>
  <sheetFormatPr defaultRowHeight="15" x14ac:dyDescent="0.25"/>
  <cols>
    <col min="1" max="1" width="11.7109375" bestFit="1" customWidth="1"/>
    <col min="2" max="2" width="13.85546875" bestFit="1" customWidth="1"/>
    <col min="3" max="3" width="9.42578125" bestFit="1" customWidth="1"/>
    <col min="4" max="4" width="10" bestFit="1" customWidth="1"/>
    <col min="5" max="5" width="13.7109375" bestFit="1" customWidth="1"/>
    <col min="6" max="6" width="16.57031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hidden="1" x14ac:dyDescent="0.25">
      <c r="A2">
        <v>1</v>
      </c>
      <c r="B2" s="1">
        <v>45983</v>
      </c>
      <c r="C2" t="s">
        <v>6</v>
      </c>
      <c r="D2" t="s">
        <v>7</v>
      </c>
      <c r="E2">
        <v>1</v>
      </c>
      <c r="F2" s="4">
        <v>300</v>
      </c>
      <c r="G2" s="5">
        <f>vendas[[#This Row],[Quantidade]]*vendas[[#This Row],[Preco_Unitario]]</f>
        <v>300</v>
      </c>
    </row>
    <row r="3" spans="1:7" hidden="1" x14ac:dyDescent="0.25">
      <c r="A3">
        <v>2</v>
      </c>
      <c r="B3" s="1">
        <v>45779</v>
      </c>
      <c r="C3" t="s">
        <v>8</v>
      </c>
      <c r="D3" t="s">
        <v>9</v>
      </c>
      <c r="E3">
        <v>4</v>
      </c>
      <c r="F3" s="4">
        <v>100</v>
      </c>
      <c r="G3" s="5">
        <f>vendas[[#This Row],[Quantidade]]*vendas[[#This Row],[Preco_Unitario]]</f>
        <v>400</v>
      </c>
    </row>
    <row r="4" spans="1:7" x14ac:dyDescent="0.25">
      <c r="A4">
        <v>3</v>
      </c>
      <c r="B4" s="1">
        <v>45921</v>
      </c>
      <c r="C4" t="s">
        <v>8</v>
      </c>
      <c r="D4" t="s">
        <v>10</v>
      </c>
      <c r="E4">
        <v>2</v>
      </c>
      <c r="F4" s="4">
        <v>200</v>
      </c>
      <c r="G4" s="5">
        <f>vendas[[#This Row],[Quantidade]]*vendas[[#This Row],[Preco_Unitario]]</f>
        <v>400</v>
      </c>
    </row>
    <row r="5" spans="1:7" hidden="1" x14ac:dyDescent="0.25">
      <c r="A5">
        <v>4</v>
      </c>
      <c r="B5" s="1">
        <v>45857</v>
      </c>
      <c r="C5" t="s">
        <v>11</v>
      </c>
      <c r="D5" t="s">
        <v>9</v>
      </c>
      <c r="E5">
        <v>4</v>
      </c>
      <c r="F5" s="4">
        <v>100</v>
      </c>
      <c r="G5" s="5">
        <f>vendas[[#This Row],[Quantidade]]*vendas[[#This Row],[Preco_Unitario]]</f>
        <v>400</v>
      </c>
    </row>
    <row r="6" spans="1:7" hidden="1" x14ac:dyDescent="0.25">
      <c r="A6">
        <v>5</v>
      </c>
      <c r="B6" s="1">
        <v>45688</v>
      </c>
      <c r="C6" t="s">
        <v>8</v>
      </c>
      <c r="D6" t="s">
        <v>7</v>
      </c>
      <c r="E6">
        <v>2</v>
      </c>
      <c r="F6" s="4">
        <v>300</v>
      </c>
      <c r="G6" s="5">
        <f>vendas[[#This Row],[Quantidade]]*vendas[[#This Row],[Preco_Unitario]]</f>
        <v>600</v>
      </c>
    </row>
    <row r="7" spans="1:7" x14ac:dyDescent="0.25">
      <c r="A7">
        <v>6</v>
      </c>
      <c r="B7" s="1">
        <v>45731</v>
      </c>
      <c r="C7" t="s">
        <v>12</v>
      </c>
      <c r="D7" t="s">
        <v>10</v>
      </c>
      <c r="E7">
        <v>3</v>
      </c>
      <c r="F7" s="4">
        <v>200</v>
      </c>
      <c r="G7" s="5">
        <f>vendas[[#This Row],[Quantidade]]*vendas[[#This Row],[Preco_Unitario]]</f>
        <v>600</v>
      </c>
    </row>
    <row r="8" spans="1:7" hidden="1" x14ac:dyDescent="0.25">
      <c r="A8">
        <v>7</v>
      </c>
      <c r="B8" s="1">
        <v>45818</v>
      </c>
      <c r="C8" t="s">
        <v>13</v>
      </c>
      <c r="D8" t="s">
        <v>9</v>
      </c>
      <c r="E8">
        <v>5</v>
      </c>
      <c r="F8" s="4">
        <v>100</v>
      </c>
      <c r="G8" s="5">
        <f>vendas[[#This Row],[Quantidade]]*vendas[[#This Row],[Preco_Unitario]]</f>
        <v>500</v>
      </c>
    </row>
    <row r="9" spans="1:7" hidden="1" x14ac:dyDescent="0.25">
      <c r="A9">
        <v>8</v>
      </c>
      <c r="B9" s="1">
        <v>45894</v>
      </c>
      <c r="C9" t="s">
        <v>6</v>
      </c>
      <c r="D9" t="s">
        <v>7</v>
      </c>
      <c r="E9">
        <v>1</v>
      </c>
      <c r="F9" s="4">
        <v>300</v>
      </c>
      <c r="G9" s="5">
        <f>vendas[[#This Row],[Quantidade]]*vendas[[#This Row],[Preco_Unitario]]</f>
        <v>300</v>
      </c>
    </row>
    <row r="10" spans="1:7" x14ac:dyDescent="0.25">
      <c r="A10">
        <v>9</v>
      </c>
      <c r="B10" s="1">
        <v>45996</v>
      </c>
      <c r="C10" t="s">
        <v>11</v>
      </c>
      <c r="D10" t="s">
        <v>10</v>
      </c>
      <c r="E10">
        <v>2</v>
      </c>
      <c r="F10" s="4">
        <v>200</v>
      </c>
      <c r="G10" s="5">
        <f>vendas[[#This Row],[Quantidade]]*vendas[[#This Row],[Preco_Unitario]]</f>
        <v>400</v>
      </c>
    </row>
    <row r="11" spans="1:7" hidden="1" x14ac:dyDescent="0.25">
      <c r="A11">
        <v>10</v>
      </c>
      <c r="B11" s="1">
        <v>45765</v>
      </c>
      <c r="C11" t="s">
        <v>12</v>
      </c>
      <c r="D11" t="s">
        <v>9</v>
      </c>
      <c r="E11">
        <v>3</v>
      </c>
      <c r="F11" s="4">
        <v>100</v>
      </c>
      <c r="G11" s="5">
        <f>vendas[[#This Row],[Quantidade]]*vendas[[#This Row],[Preco_Unitario]]</f>
        <v>300</v>
      </c>
    </row>
    <row r="12" spans="1:7" x14ac:dyDescent="0.25">
      <c r="A12">
        <v>11</v>
      </c>
      <c r="B12" s="1">
        <v>45700</v>
      </c>
      <c r="C12" t="s">
        <v>8</v>
      </c>
      <c r="D12" t="s">
        <v>10</v>
      </c>
      <c r="E12">
        <v>1</v>
      </c>
      <c r="F12" s="4">
        <v>200</v>
      </c>
      <c r="G12" s="5">
        <f>vendas[[#This Row],[Quantidade]]*vendas[[#This Row],[Preco_Unitario]]</f>
        <v>200</v>
      </c>
    </row>
    <row r="13" spans="1:7" hidden="1" x14ac:dyDescent="0.25">
      <c r="A13">
        <v>12</v>
      </c>
      <c r="B13" s="1">
        <v>45937</v>
      </c>
      <c r="C13" t="s">
        <v>6</v>
      </c>
      <c r="D13" t="s">
        <v>7</v>
      </c>
      <c r="E13">
        <v>4</v>
      </c>
      <c r="F13" s="4">
        <v>300</v>
      </c>
      <c r="G13" s="5">
        <f>vendas[[#This Row],[Quantidade]]*vendas[[#This Row],[Preco_Unitario]]</f>
        <v>1200</v>
      </c>
    </row>
    <row r="14" spans="1:7" hidden="1" x14ac:dyDescent="0.25">
      <c r="A14">
        <v>13</v>
      </c>
      <c r="B14" s="1">
        <v>45841</v>
      </c>
      <c r="C14" t="s">
        <v>13</v>
      </c>
      <c r="D14" t="s">
        <v>9</v>
      </c>
      <c r="E14">
        <v>2</v>
      </c>
      <c r="F14" s="4">
        <v>100</v>
      </c>
      <c r="G14" s="5">
        <f>vendas[[#This Row],[Quantidade]]*vendas[[#This Row],[Preco_Unitario]]</f>
        <v>200</v>
      </c>
    </row>
    <row r="15" spans="1:7" x14ac:dyDescent="0.25">
      <c r="A15">
        <v>14</v>
      </c>
      <c r="B15" s="1">
        <v>45914</v>
      </c>
      <c r="C15" t="s">
        <v>12</v>
      </c>
      <c r="D15" t="s">
        <v>10</v>
      </c>
      <c r="E15">
        <v>5</v>
      </c>
      <c r="F15" s="4">
        <v>200</v>
      </c>
      <c r="G15" s="5">
        <f>vendas[[#This Row],[Quantidade]]*vendas[[#This Row],[Preco_Unitario]]</f>
        <v>1000</v>
      </c>
    </row>
    <row r="16" spans="1:7" hidden="1" x14ac:dyDescent="0.25">
      <c r="A16">
        <v>15</v>
      </c>
      <c r="B16" s="1">
        <v>45990</v>
      </c>
      <c r="C16" t="s">
        <v>11</v>
      </c>
      <c r="D16" t="s">
        <v>7</v>
      </c>
      <c r="E16">
        <v>3</v>
      </c>
      <c r="F16" s="4">
        <v>300</v>
      </c>
      <c r="G16" s="5">
        <f>vendas[[#This Row],[Quantidade]]*vendas[[#This Row],[Preco_Unitario]]</f>
        <v>900</v>
      </c>
    </row>
    <row r="17" spans="1:7" hidden="1" x14ac:dyDescent="0.25">
      <c r="A17">
        <v>16</v>
      </c>
      <c r="B17" s="1">
        <v>45738</v>
      </c>
      <c r="C17" t="s">
        <v>8</v>
      </c>
      <c r="D17" t="s">
        <v>9</v>
      </c>
      <c r="E17">
        <v>1</v>
      </c>
      <c r="F17" s="4">
        <v>100</v>
      </c>
      <c r="G17" s="5">
        <f>vendas[[#This Row],[Quantidade]]*vendas[[#This Row],[Preco_Unitario]]</f>
        <v>100</v>
      </c>
    </row>
    <row r="18" spans="1:7" x14ac:dyDescent="0.25">
      <c r="A18">
        <v>17</v>
      </c>
      <c r="B18" s="1">
        <v>45835</v>
      </c>
      <c r="C18" t="s">
        <v>6</v>
      </c>
      <c r="D18" t="s">
        <v>10</v>
      </c>
      <c r="E18">
        <v>2</v>
      </c>
      <c r="F18" s="4">
        <v>200</v>
      </c>
      <c r="G18" s="5">
        <f>vendas[[#This Row],[Quantidade]]*vendas[[#This Row],[Preco_Unitario]]</f>
        <v>400</v>
      </c>
    </row>
    <row r="19" spans="1:7" hidden="1" x14ac:dyDescent="0.25">
      <c r="A19">
        <v>18</v>
      </c>
      <c r="B19" s="1">
        <v>45880</v>
      </c>
      <c r="C19" t="s">
        <v>13</v>
      </c>
      <c r="D19" t="s">
        <v>7</v>
      </c>
      <c r="E19">
        <v>4</v>
      </c>
      <c r="F19" s="4">
        <v>300</v>
      </c>
      <c r="G19" s="5">
        <f>vendas[[#This Row],[Quantidade]]*vendas[[#This Row],[Preco_Unitario]]</f>
        <v>1200</v>
      </c>
    </row>
    <row r="20" spans="1:7" hidden="1" x14ac:dyDescent="0.25">
      <c r="A20">
        <v>19</v>
      </c>
      <c r="B20" s="1">
        <v>46011</v>
      </c>
      <c r="C20" t="s">
        <v>12</v>
      </c>
      <c r="D20" t="s">
        <v>9</v>
      </c>
      <c r="E20">
        <v>5</v>
      </c>
      <c r="F20" s="4">
        <v>100</v>
      </c>
      <c r="G20" s="5">
        <f>vendas[[#This Row],[Quantidade]]*vendas[[#This Row],[Preco_Unitario]]</f>
        <v>500</v>
      </c>
    </row>
    <row r="21" spans="1:7" x14ac:dyDescent="0.25">
      <c r="A21">
        <v>20</v>
      </c>
      <c r="B21" s="1">
        <v>45792</v>
      </c>
      <c r="C21" t="s">
        <v>11</v>
      </c>
      <c r="D21" t="s">
        <v>10</v>
      </c>
      <c r="E21">
        <v>3</v>
      </c>
      <c r="F21" s="4">
        <v>200</v>
      </c>
      <c r="G21" s="5">
        <f>vendas[[#This Row],[Quantidade]]*vendas[[#This Row],[Preco_Unitario]]</f>
        <v>600</v>
      </c>
    </row>
    <row r="22" spans="1:7" hidden="1" x14ac:dyDescent="0.25">
      <c r="A22">
        <v>21</v>
      </c>
      <c r="B22" s="1">
        <v>45667</v>
      </c>
      <c r="C22" t="s">
        <v>8</v>
      </c>
      <c r="D22" t="s">
        <v>7</v>
      </c>
      <c r="E22">
        <v>2</v>
      </c>
      <c r="F22" s="4">
        <v>300</v>
      </c>
      <c r="G22" s="5">
        <f>vendas[[#This Row],[Quantidade]]*vendas[[#This Row],[Preco_Unitario]]</f>
        <v>600</v>
      </c>
    </row>
    <row r="23" spans="1:7" hidden="1" x14ac:dyDescent="0.25">
      <c r="A23">
        <v>22</v>
      </c>
      <c r="B23" s="1">
        <v>45713</v>
      </c>
      <c r="C23" t="s">
        <v>6</v>
      </c>
      <c r="D23" t="s">
        <v>9</v>
      </c>
      <c r="E23">
        <v>4</v>
      </c>
      <c r="F23" s="4">
        <v>100</v>
      </c>
      <c r="G23" s="5">
        <f>vendas[[#This Row],[Quantidade]]*vendas[[#This Row],[Preco_Unitario]]</f>
        <v>400</v>
      </c>
    </row>
    <row r="24" spans="1:7" x14ac:dyDescent="0.25">
      <c r="A24">
        <v>23</v>
      </c>
      <c r="B24" s="1">
        <v>45746</v>
      </c>
      <c r="C24" t="s">
        <v>12</v>
      </c>
      <c r="D24" t="s">
        <v>10</v>
      </c>
      <c r="E24">
        <v>1</v>
      </c>
      <c r="F24" s="4">
        <v>200</v>
      </c>
      <c r="G24" s="5">
        <f>vendas[[#This Row],[Quantidade]]*vendas[[#This Row],[Preco_Unitario]]</f>
        <v>200</v>
      </c>
    </row>
    <row r="25" spans="1:7" hidden="1" x14ac:dyDescent="0.25">
      <c r="A25">
        <v>24</v>
      </c>
      <c r="B25" s="1">
        <v>45759</v>
      </c>
      <c r="C25" t="s">
        <v>13</v>
      </c>
      <c r="D25" t="s">
        <v>7</v>
      </c>
      <c r="E25">
        <v>5</v>
      </c>
      <c r="F25" s="4">
        <v>300</v>
      </c>
      <c r="G25" s="5">
        <f>vendas[[#This Row],[Quantidade]]*vendas[[#This Row],[Preco_Unitario]]</f>
        <v>1500</v>
      </c>
    </row>
    <row r="26" spans="1:7" hidden="1" x14ac:dyDescent="0.25">
      <c r="A26">
        <v>25</v>
      </c>
      <c r="B26" s="1">
        <v>45805</v>
      </c>
      <c r="C26" t="s">
        <v>11</v>
      </c>
      <c r="D26" t="s">
        <v>9</v>
      </c>
      <c r="E26">
        <v>3</v>
      </c>
      <c r="F26" s="4">
        <v>100</v>
      </c>
      <c r="G26" s="5">
        <f>vendas[[#This Row],[Quantidade]]*vendas[[#This Row],[Preco_Unitario]]</f>
        <v>300</v>
      </c>
    </row>
    <row r="27" spans="1:7" x14ac:dyDescent="0.25">
      <c r="A27">
        <v>26</v>
      </c>
      <c r="B27" s="1">
        <v>45827</v>
      </c>
      <c r="C27" t="s">
        <v>8</v>
      </c>
      <c r="D27" t="s">
        <v>10</v>
      </c>
      <c r="E27">
        <v>2</v>
      </c>
      <c r="F27" s="4">
        <v>200</v>
      </c>
      <c r="G27" s="5">
        <f>vendas[[#This Row],[Quantidade]]*vendas[[#This Row],[Preco_Unitario]]</f>
        <v>400</v>
      </c>
    </row>
    <row r="28" spans="1:7" hidden="1" x14ac:dyDescent="0.25">
      <c r="A28">
        <v>27</v>
      </c>
      <c r="B28" s="1">
        <v>45863</v>
      </c>
      <c r="C28" t="s">
        <v>6</v>
      </c>
      <c r="D28" t="s">
        <v>7</v>
      </c>
      <c r="E28">
        <v>1</v>
      </c>
      <c r="F28" s="4">
        <v>300</v>
      </c>
      <c r="G28" s="5">
        <f>vendas[[#This Row],[Quantidade]]*vendas[[#This Row],[Preco_Unitario]]</f>
        <v>300</v>
      </c>
    </row>
    <row r="29" spans="1:7" hidden="1" x14ac:dyDescent="0.25">
      <c r="A29">
        <v>28</v>
      </c>
      <c r="B29" s="1">
        <v>45883</v>
      </c>
      <c r="C29" t="s">
        <v>12</v>
      </c>
      <c r="D29" t="s">
        <v>9</v>
      </c>
      <c r="E29">
        <v>4</v>
      </c>
      <c r="F29" s="4">
        <v>100</v>
      </c>
      <c r="G29" s="5">
        <f>vendas[[#This Row],[Quantidade]]*vendas[[#This Row],[Preco_Unitario]]</f>
        <v>400</v>
      </c>
    </row>
    <row r="30" spans="1:7" x14ac:dyDescent="0.25">
      <c r="A30">
        <v>29</v>
      </c>
      <c r="B30" s="1">
        <v>45909</v>
      </c>
      <c r="C30" t="s">
        <v>13</v>
      </c>
      <c r="D30" t="s">
        <v>10</v>
      </c>
      <c r="E30">
        <v>3</v>
      </c>
      <c r="F30" s="4">
        <v>200</v>
      </c>
      <c r="G30" s="5">
        <f>vendas[[#This Row],[Quantidade]]*vendas[[#This Row],[Preco_Unitario]]</f>
        <v>600</v>
      </c>
    </row>
    <row r="31" spans="1:7" hidden="1" x14ac:dyDescent="0.25">
      <c r="A31">
        <v>30</v>
      </c>
      <c r="B31" s="1">
        <v>45951</v>
      </c>
      <c r="C31" t="s">
        <v>11</v>
      </c>
      <c r="D31" t="s">
        <v>7</v>
      </c>
      <c r="E31">
        <v>2</v>
      </c>
      <c r="F31" s="4">
        <v>300</v>
      </c>
      <c r="G31" s="5">
        <f>vendas[[#This Row],[Quantidade]]*vendas[[#This Row],[Preco_Unitario]]</f>
        <v>600</v>
      </c>
    </row>
    <row r="32" spans="1:7" hidden="1" x14ac:dyDescent="0.25">
      <c r="A32">
        <v>31</v>
      </c>
      <c r="B32" s="1">
        <v>45966</v>
      </c>
      <c r="C32" t="s">
        <v>8</v>
      </c>
      <c r="D32" t="s">
        <v>9</v>
      </c>
      <c r="E32">
        <v>5</v>
      </c>
      <c r="F32" s="4">
        <v>100</v>
      </c>
      <c r="G32" s="5">
        <f>vendas[[#This Row],[Quantidade]]*vendas[[#This Row],[Preco_Unitario]]</f>
        <v>500</v>
      </c>
    </row>
    <row r="33" spans="1:7" x14ac:dyDescent="0.25">
      <c r="A33">
        <v>32</v>
      </c>
      <c r="B33" s="1">
        <v>46009</v>
      </c>
      <c r="C33" t="s">
        <v>6</v>
      </c>
      <c r="D33" t="s">
        <v>10</v>
      </c>
      <c r="E33">
        <v>4</v>
      </c>
      <c r="F33" s="4">
        <v>200</v>
      </c>
      <c r="G33" s="5">
        <f>vendas[[#This Row],[Quantidade]]*vendas[[#This Row],[Preco_Unitario]]</f>
        <v>800</v>
      </c>
    </row>
    <row r="34" spans="1:7" hidden="1" x14ac:dyDescent="0.25">
      <c r="A34">
        <v>33</v>
      </c>
      <c r="B34" s="1">
        <v>45679</v>
      </c>
      <c r="C34" t="s">
        <v>12</v>
      </c>
      <c r="D34" t="s">
        <v>7</v>
      </c>
      <c r="E34">
        <v>3</v>
      </c>
      <c r="F34" s="4">
        <v>300</v>
      </c>
      <c r="G34" s="5">
        <f>vendas[[#This Row],[Quantidade]]*vendas[[#This Row],[Preco_Unitario]]</f>
        <v>900</v>
      </c>
    </row>
    <row r="35" spans="1:7" hidden="1" x14ac:dyDescent="0.25">
      <c r="A35">
        <v>34</v>
      </c>
      <c r="B35" s="1">
        <v>45696</v>
      </c>
      <c r="C35" t="s">
        <v>13</v>
      </c>
      <c r="D35" t="s">
        <v>9</v>
      </c>
      <c r="E35">
        <v>2</v>
      </c>
      <c r="F35" s="4">
        <v>100</v>
      </c>
      <c r="G35" s="5">
        <f>vendas[[#This Row],[Quantidade]]*vendas[[#This Row],[Preco_Unitario]]</f>
        <v>200</v>
      </c>
    </row>
    <row r="36" spans="1:7" x14ac:dyDescent="0.25">
      <c r="A36">
        <v>35</v>
      </c>
      <c r="B36" s="1">
        <v>45733</v>
      </c>
      <c r="C36" t="s">
        <v>11</v>
      </c>
      <c r="D36" t="s">
        <v>10</v>
      </c>
      <c r="E36">
        <v>1</v>
      </c>
      <c r="F36" s="4">
        <v>200</v>
      </c>
      <c r="G36" s="5">
        <f>vendas[[#This Row],[Quantidade]]*vendas[[#This Row],[Preco_Unitario]]</f>
        <v>200</v>
      </c>
    </row>
    <row r="37" spans="1:7" hidden="1" x14ac:dyDescent="0.25">
      <c r="A37">
        <v>36</v>
      </c>
      <c r="B37" s="1">
        <v>45776</v>
      </c>
      <c r="C37" t="s">
        <v>8</v>
      </c>
      <c r="D37" t="s">
        <v>7</v>
      </c>
      <c r="E37">
        <v>4</v>
      </c>
      <c r="F37" s="4">
        <v>300</v>
      </c>
      <c r="G37" s="5">
        <f>vendas[[#This Row],[Quantidade]]*vendas[[#This Row],[Preco_Unitario]]</f>
        <v>1200</v>
      </c>
    </row>
    <row r="38" spans="1:7" hidden="1" x14ac:dyDescent="0.25">
      <c r="A38">
        <v>37</v>
      </c>
      <c r="B38" s="1">
        <v>45788</v>
      </c>
      <c r="C38" t="s">
        <v>6</v>
      </c>
      <c r="D38" t="s">
        <v>9</v>
      </c>
      <c r="E38">
        <v>3</v>
      </c>
      <c r="F38" s="4">
        <v>100</v>
      </c>
      <c r="G38" s="5">
        <f>vendas[[#This Row],[Quantidade]]*vendas[[#This Row],[Preco_Unitario]]</f>
        <v>300</v>
      </c>
    </row>
    <row r="39" spans="1:7" x14ac:dyDescent="0.25">
      <c r="A39">
        <v>38</v>
      </c>
      <c r="B39" s="1">
        <v>45831</v>
      </c>
      <c r="C39" t="s">
        <v>12</v>
      </c>
      <c r="D39" t="s">
        <v>10</v>
      </c>
      <c r="E39">
        <v>2</v>
      </c>
      <c r="F39" s="4">
        <v>200</v>
      </c>
      <c r="G39" s="5">
        <f>vendas[[#This Row],[Quantidade]]*vendas[[#This Row],[Preco_Unitario]]</f>
        <v>400</v>
      </c>
    </row>
    <row r="40" spans="1:7" hidden="1" x14ac:dyDescent="0.25">
      <c r="A40">
        <v>39</v>
      </c>
      <c r="B40" s="1">
        <v>45845</v>
      </c>
      <c r="C40" t="s">
        <v>13</v>
      </c>
      <c r="D40" t="s">
        <v>7</v>
      </c>
      <c r="E40">
        <v>5</v>
      </c>
      <c r="F40" s="4">
        <v>300</v>
      </c>
      <c r="G40" s="5">
        <f>vendas[[#This Row],[Quantidade]]*vendas[[#This Row],[Preco_Unitario]]</f>
        <v>1500</v>
      </c>
    </row>
    <row r="41" spans="1:7" hidden="1" x14ac:dyDescent="0.25">
      <c r="A41">
        <v>40</v>
      </c>
      <c r="B41" s="1">
        <v>45888</v>
      </c>
      <c r="C41" t="s">
        <v>11</v>
      </c>
      <c r="D41" t="s">
        <v>9</v>
      </c>
      <c r="E41">
        <v>1</v>
      </c>
      <c r="F41" s="4">
        <v>100</v>
      </c>
      <c r="G41" s="5">
        <f>vendas[[#This Row],[Quantidade]]*vendas[[#This Row],[Preco_Unitario]]</f>
        <v>100</v>
      </c>
    </row>
    <row r="42" spans="1:7" x14ac:dyDescent="0.25">
      <c r="A42">
        <v>41</v>
      </c>
      <c r="B42" s="1">
        <v>45902</v>
      </c>
      <c r="C42" t="s">
        <v>8</v>
      </c>
      <c r="D42" t="s">
        <v>10</v>
      </c>
      <c r="E42">
        <v>4</v>
      </c>
      <c r="F42" s="4">
        <v>200</v>
      </c>
      <c r="G42" s="5">
        <f>vendas[[#This Row],[Quantidade]]*vendas[[#This Row],[Preco_Unitario]]</f>
        <v>800</v>
      </c>
    </row>
    <row r="43" spans="1:7" hidden="1" x14ac:dyDescent="0.25">
      <c r="A43">
        <v>42</v>
      </c>
      <c r="B43" s="1">
        <v>45945</v>
      </c>
      <c r="C43" t="s">
        <v>6</v>
      </c>
      <c r="D43" t="s">
        <v>7</v>
      </c>
      <c r="E43">
        <v>2</v>
      </c>
      <c r="F43" s="4">
        <v>300</v>
      </c>
      <c r="G43" s="5">
        <f>vendas[[#This Row],[Quantidade]]*vendas[[#This Row],[Preco_Unitario]]</f>
        <v>600</v>
      </c>
    </row>
    <row r="44" spans="1:7" hidden="1" x14ac:dyDescent="0.25">
      <c r="A44">
        <v>43</v>
      </c>
      <c r="B44" s="1">
        <v>45988</v>
      </c>
      <c r="C44" t="s">
        <v>12</v>
      </c>
      <c r="D44" t="s">
        <v>9</v>
      </c>
      <c r="E44">
        <v>3</v>
      </c>
      <c r="F44" s="4">
        <v>100</v>
      </c>
      <c r="G44" s="5">
        <f>vendas[[#This Row],[Quantidade]]*vendas[[#This Row],[Preco_Unitario]]</f>
        <v>300</v>
      </c>
    </row>
    <row r="45" spans="1:7" x14ac:dyDescent="0.25">
      <c r="A45">
        <v>44</v>
      </c>
      <c r="B45" s="1">
        <v>46000</v>
      </c>
      <c r="C45" t="s">
        <v>13</v>
      </c>
      <c r="D45" t="s">
        <v>10</v>
      </c>
      <c r="E45">
        <v>5</v>
      </c>
      <c r="F45" s="4">
        <v>200</v>
      </c>
      <c r="G45" s="5">
        <f>vendas[[#This Row],[Quantidade]]*vendas[[#This Row],[Preco_Unitario]]</f>
        <v>1000</v>
      </c>
    </row>
    <row r="46" spans="1:7" hidden="1" x14ac:dyDescent="0.25">
      <c r="A46">
        <v>45</v>
      </c>
      <c r="B46" s="1">
        <v>45662</v>
      </c>
      <c r="C46" t="s">
        <v>11</v>
      </c>
      <c r="D46" t="s">
        <v>7</v>
      </c>
      <c r="E46">
        <v>1</v>
      </c>
      <c r="F46" s="4">
        <v>300</v>
      </c>
      <c r="G46" s="5">
        <f>vendas[[#This Row],[Quantidade]]*vendas[[#This Row],[Preco_Unitario]]</f>
        <v>300</v>
      </c>
    </row>
    <row r="47" spans="1:7" hidden="1" x14ac:dyDescent="0.25">
      <c r="A47">
        <v>46</v>
      </c>
      <c r="B47" s="1">
        <v>45706</v>
      </c>
      <c r="C47" t="s">
        <v>8</v>
      </c>
      <c r="D47" t="s">
        <v>9</v>
      </c>
      <c r="E47">
        <v>4</v>
      </c>
      <c r="F47" s="4">
        <v>100</v>
      </c>
      <c r="G47" s="5">
        <f>vendas[[#This Row],[Quantidade]]*vendas[[#This Row],[Preco_Unitario]]</f>
        <v>400</v>
      </c>
    </row>
    <row r="48" spans="1:7" x14ac:dyDescent="0.25">
      <c r="A48">
        <v>47</v>
      </c>
      <c r="B48" s="1">
        <v>45719</v>
      </c>
      <c r="C48" t="s">
        <v>6</v>
      </c>
      <c r="D48" t="s">
        <v>10</v>
      </c>
      <c r="E48">
        <v>2</v>
      </c>
      <c r="F48" s="4">
        <v>200</v>
      </c>
      <c r="G48" s="5">
        <f>vendas[[#This Row],[Quantidade]]*vendas[[#This Row],[Preco_Unitario]]</f>
        <v>400</v>
      </c>
    </row>
    <row r="49" spans="1:7" hidden="1" x14ac:dyDescent="0.25">
      <c r="A49">
        <v>48</v>
      </c>
      <c r="B49" s="1">
        <v>45763</v>
      </c>
      <c r="C49" t="s">
        <v>12</v>
      </c>
      <c r="D49" t="s">
        <v>7</v>
      </c>
      <c r="E49">
        <v>3</v>
      </c>
      <c r="F49" s="4">
        <v>300</v>
      </c>
      <c r="G49" s="5">
        <f>vendas[[#This Row],[Quantidade]]*vendas[[#This Row],[Preco_Unitario]]</f>
        <v>900</v>
      </c>
    </row>
    <row r="50" spans="1:7" hidden="1" x14ac:dyDescent="0.25">
      <c r="A50">
        <v>49</v>
      </c>
      <c r="B50" s="1">
        <v>45807</v>
      </c>
      <c r="C50" t="s">
        <v>13</v>
      </c>
      <c r="D50" t="s">
        <v>9</v>
      </c>
      <c r="E50">
        <v>5</v>
      </c>
      <c r="F50" s="4">
        <v>100</v>
      </c>
      <c r="G50" s="5">
        <f>vendas[[#This Row],[Quantidade]]*vendas[[#This Row],[Preco_Unitario]]</f>
        <v>500</v>
      </c>
    </row>
    <row r="51" spans="1:7" x14ac:dyDescent="0.25">
      <c r="A51">
        <v>50</v>
      </c>
      <c r="B51" s="1">
        <v>45820</v>
      </c>
      <c r="C51" t="s">
        <v>11</v>
      </c>
      <c r="D51" t="s">
        <v>10</v>
      </c>
      <c r="E51">
        <v>1</v>
      </c>
      <c r="F51" s="4">
        <v>200</v>
      </c>
      <c r="G51" s="5">
        <f>vendas[[#This Row],[Quantidade]]*vendas[[#This Row],[Preco_Unitario]]</f>
        <v>200</v>
      </c>
    </row>
    <row r="52" spans="1:7" hidden="1" x14ac:dyDescent="0.25">
      <c r="A52">
        <v>51</v>
      </c>
      <c r="B52" s="1">
        <v>45862</v>
      </c>
      <c r="C52" t="s">
        <v>8</v>
      </c>
      <c r="D52" t="s">
        <v>7</v>
      </c>
      <c r="E52">
        <v>4</v>
      </c>
      <c r="F52" s="4">
        <v>300</v>
      </c>
      <c r="G52" s="5">
        <f>vendas[[#This Row],[Quantidade]]*vendas[[#This Row],[Preco_Unitario]]</f>
        <v>1200</v>
      </c>
    </row>
    <row r="53" spans="1:7" hidden="1" x14ac:dyDescent="0.25">
      <c r="A53">
        <v>52</v>
      </c>
      <c r="B53" s="1">
        <v>45875</v>
      </c>
      <c r="C53" t="s">
        <v>6</v>
      </c>
      <c r="D53" t="s">
        <v>9</v>
      </c>
      <c r="E53">
        <v>2</v>
      </c>
      <c r="F53" s="4">
        <v>100</v>
      </c>
      <c r="G53" s="5">
        <f>vendas[[#This Row],[Quantidade]]*vendas[[#This Row],[Preco_Unitario]]</f>
        <v>200</v>
      </c>
    </row>
    <row r="54" spans="1:7" x14ac:dyDescent="0.25">
      <c r="A54">
        <v>53</v>
      </c>
      <c r="B54" s="1">
        <v>45918</v>
      </c>
      <c r="C54" t="s">
        <v>12</v>
      </c>
      <c r="D54" t="s">
        <v>10</v>
      </c>
      <c r="E54">
        <v>3</v>
      </c>
      <c r="F54" s="4">
        <v>200</v>
      </c>
      <c r="G54" s="5">
        <f>vendas[[#This Row],[Quantidade]]*vendas[[#This Row],[Preco_Unitario]]</f>
        <v>600</v>
      </c>
    </row>
    <row r="55" spans="1:7" hidden="1" x14ac:dyDescent="0.25">
      <c r="A55">
        <v>54</v>
      </c>
      <c r="B55" s="1">
        <v>45961</v>
      </c>
      <c r="C55" t="s">
        <v>13</v>
      </c>
      <c r="D55" t="s">
        <v>7</v>
      </c>
      <c r="E55">
        <v>5</v>
      </c>
      <c r="F55" s="4">
        <v>300</v>
      </c>
      <c r="G55" s="5">
        <f>vendas[[#This Row],[Quantidade]]*vendas[[#This Row],[Preco_Unitario]]</f>
        <v>1500</v>
      </c>
    </row>
    <row r="56" spans="1:7" hidden="1" x14ac:dyDescent="0.25">
      <c r="A56">
        <v>55</v>
      </c>
      <c r="B56" s="1">
        <v>45974</v>
      </c>
      <c r="C56" t="s">
        <v>11</v>
      </c>
      <c r="D56" t="s">
        <v>9</v>
      </c>
      <c r="E56">
        <v>1</v>
      </c>
      <c r="F56" s="4">
        <v>100</v>
      </c>
      <c r="G56" s="5">
        <f>vendas[[#This Row],[Quantidade]]*vendas[[#This Row],[Preco_Unitario]]</f>
        <v>100</v>
      </c>
    </row>
    <row r="57" spans="1:7" x14ac:dyDescent="0.25">
      <c r="A57">
        <v>56</v>
      </c>
      <c r="B57" s="1">
        <v>46017</v>
      </c>
      <c r="C57" t="s">
        <v>8</v>
      </c>
      <c r="D57" t="s">
        <v>10</v>
      </c>
      <c r="E57">
        <v>4</v>
      </c>
      <c r="F57" s="4">
        <v>200</v>
      </c>
      <c r="G57" s="5">
        <f>vendas[[#This Row],[Quantidade]]*vendas[[#This Row],[Preco_Unitario]]</f>
        <v>800</v>
      </c>
    </row>
    <row r="58" spans="1:7" hidden="1" x14ac:dyDescent="0.25">
      <c r="A58">
        <v>57</v>
      </c>
      <c r="B58" s="1">
        <v>45666</v>
      </c>
      <c r="C58" t="s">
        <v>6</v>
      </c>
      <c r="D58" t="s">
        <v>7</v>
      </c>
      <c r="E58">
        <v>2</v>
      </c>
      <c r="F58" s="4">
        <v>300</v>
      </c>
      <c r="G58" s="5">
        <f>vendas[[#This Row],[Quantidade]]*vendas[[#This Row],[Preco_Unitario]]</f>
        <v>600</v>
      </c>
    </row>
    <row r="59" spans="1:7" hidden="1" x14ac:dyDescent="0.25">
      <c r="A59">
        <v>58</v>
      </c>
      <c r="B59" s="1">
        <v>45709</v>
      </c>
      <c r="C59" t="s">
        <v>12</v>
      </c>
      <c r="D59" t="s">
        <v>9</v>
      </c>
      <c r="E59">
        <v>3</v>
      </c>
      <c r="F59" s="4">
        <v>100</v>
      </c>
      <c r="G59" s="5">
        <f>vendas[[#This Row],[Quantidade]]*vendas[[#This Row],[Preco_Unitario]]</f>
        <v>300</v>
      </c>
    </row>
    <row r="60" spans="1:7" x14ac:dyDescent="0.25">
      <c r="A60">
        <v>59</v>
      </c>
      <c r="B60" s="1">
        <v>45722</v>
      </c>
      <c r="C60" t="s">
        <v>13</v>
      </c>
      <c r="D60" t="s">
        <v>10</v>
      </c>
      <c r="E60">
        <v>5</v>
      </c>
      <c r="F60" s="4">
        <v>200</v>
      </c>
      <c r="G60" s="5">
        <f>vendas[[#This Row],[Quantidade]]*vendas[[#This Row],[Preco_Unitario]]</f>
        <v>1000</v>
      </c>
    </row>
    <row r="61" spans="1:7" hidden="1" x14ac:dyDescent="0.25">
      <c r="A61">
        <v>60</v>
      </c>
      <c r="B61" s="1">
        <v>45766</v>
      </c>
      <c r="C61" t="s">
        <v>11</v>
      </c>
      <c r="D61" t="s">
        <v>7</v>
      </c>
      <c r="E61">
        <v>1</v>
      </c>
      <c r="F61" s="4">
        <v>300</v>
      </c>
      <c r="G61" s="5">
        <f>vendas[[#This Row],[Quantidade]]*vendas[[#This Row],[Preco_Unitario]]</f>
        <v>300</v>
      </c>
    </row>
    <row r="62" spans="1:7" hidden="1" x14ac:dyDescent="0.25">
      <c r="A62">
        <v>61</v>
      </c>
      <c r="B62" s="1">
        <v>45779</v>
      </c>
      <c r="C62" t="s">
        <v>8</v>
      </c>
      <c r="D62" t="s">
        <v>9</v>
      </c>
      <c r="E62">
        <v>4</v>
      </c>
      <c r="F62" s="4">
        <v>100</v>
      </c>
      <c r="G62" s="5">
        <f>vendas[[#This Row],[Quantidade]]*vendas[[#This Row],[Preco_Unitario]]</f>
        <v>400</v>
      </c>
    </row>
    <row r="63" spans="1:7" x14ac:dyDescent="0.25">
      <c r="A63">
        <v>62</v>
      </c>
      <c r="B63" s="1">
        <v>45823</v>
      </c>
      <c r="C63" t="s">
        <v>6</v>
      </c>
      <c r="D63" t="s">
        <v>10</v>
      </c>
      <c r="E63">
        <v>2</v>
      </c>
      <c r="F63" s="4">
        <v>200</v>
      </c>
      <c r="G63" s="5">
        <f>vendas[[#This Row],[Quantidade]]*vendas[[#This Row],[Preco_Unitario]]</f>
        <v>400</v>
      </c>
    </row>
    <row r="64" spans="1:7" hidden="1" x14ac:dyDescent="0.25">
      <c r="A64">
        <v>63</v>
      </c>
      <c r="B64" s="1">
        <v>45866</v>
      </c>
      <c r="C64" t="s">
        <v>12</v>
      </c>
      <c r="D64" t="s">
        <v>7</v>
      </c>
      <c r="E64">
        <v>3</v>
      </c>
      <c r="F64" s="4">
        <v>300</v>
      </c>
      <c r="G64" s="5">
        <f>vendas[[#This Row],[Quantidade]]*vendas[[#This Row],[Preco_Unitario]]</f>
        <v>900</v>
      </c>
    </row>
    <row r="65" spans="1:7" hidden="1" x14ac:dyDescent="0.25">
      <c r="A65">
        <v>64</v>
      </c>
      <c r="B65" s="1">
        <v>45879</v>
      </c>
      <c r="C65" t="s">
        <v>13</v>
      </c>
      <c r="D65" t="s">
        <v>9</v>
      </c>
      <c r="E65">
        <v>5</v>
      </c>
      <c r="F65" s="4">
        <v>100</v>
      </c>
      <c r="G65" s="5">
        <f>vendas[[#This Row],[Quantidade]]*vendas[[#This Row],[Preco_Unitario]]</f>
        <v>500</v>
      </c>
    </row>
    <row r="66" spans="1:7" x14ac:dyDescent="0.25">
      <c r="A66">
        <v>65</v>
      </c>
      <c r="B66" s="1">
        <v>45923</v>
      </c>
      <c r="C66" t="s">
        <v>11</v>
      </c>
      <c r="D66" t="s">
        <v>10</v>
      </c>
      <c r="E66">
        <v>1</v>
      </c>
      <c r="F66" s="4">
        <v>200</v>
      </c>
      <c r="G66" s="5">
        <f>vendas[[#This Row],[Quantidade]]*vendas[[#This Row],[Preco_Unitario]]</f>
        <v>200</v>
      </c>
    </row>
    <row r="67" spans="1:7" hidden="1" x14ac:dyDescent="0.25">
      <c r="A67">
        <v>66</v>
      </c>
      <c r="B67" s="1">
        <v>45935</v>
      </c>
      <c r="C67" t="s">
        <v>8</v>
      </c>
      <c r="D67" t="s">
        <v>7</v>
      </c>
      <c r="E67">
        <v>4</v>
      </c>
      <c r="F67" s="4">
        <v>300</v>
      </c>
      <c r="G67" s="5">
        <f>vendas[[#This Row],[Quantidade]]*vendas[[#This Row],[Preco_Unitario]]</f>
        <v>1200</v>
      </c>
    </row>
    <row r="68" spans="1:7" hidden="1" x14ac:dyDescent="0.25">
      <c r="A68">
        <v>67</v>
      </c>
      <c r="B68" s="1">
        <v>45979</v>
      </c>
      <c r="C68" t="s">
        <v>6</v>
      </c>
      <c r="D68" t="s">
        <v>9</v>
      </c>
      <c r="E68">
        <v>2</v>
      </c>
      <c r="F68" s="4">
        <v>100</v>
      </c>
      <c r="G68" s="5">
        <f>vendas[[#This Row],[Quantidade]]*vendas[[#This Row],[Preco_Unitario]]</f>
        <v>200</v>
      </c>
    </row>
    <row r="69" spans="1:7" x14ac:dyDescent="0.25">
      <c r="A69">
        <v>68</v>
      </c>
      <c r="B69" s="1">
        <v>46022</v>
      </c>
      <c r="C69" t="s">
        <v>12</v>
      </c>
      <c r="D69" t="s">
        <v>10</v>
      </c>
      <c r="E69">
        <v>3</v>
      </c>
      <c r="F69" s="4">
        <v>200</v>
      </c>
      <c r="G69" s="5">
        <f>vendas[[#This Row],[Quantidade]]*vendas[[#This Row],[Preco_Unitario]]</f>
        <v>600</v>
      </c>
    </row>
    <row r="70" spans="1:7" hidden="1" x14ac:dyDescent="0.25">
      <c r="A70">
        <v>69</v>
      </c>
      <c r="B70" s="1">
        <v>45671</v>
      </c>
      <c r="C70" t="s">
        <v>13</v>
      </c>
      <c r="D70" t="s">
        <v>7</v>
      </c>
      <c r="E70">
        <v>5</v>
      </c>
      <c r="F70" s="4">
        <v>300</v>
      </c>
      <c r="G70" s="5">
        <f>vendas[[#This Row],[Quantidade]]*vendas[[#This Row],[Preco_Unitario]]</f>
        <v>1500</v>
      </c>
    </row>
    <row r="71" spans="1:7" hidden="1" x14ac:dyDescent="0.25">
      <c r="A71">
        <v>70</v>
      </c>
      <c r="B71" s="1">
        <v>45715</v>
      </c>
      <c r="C71" t="s">
        <v>11</v>
      </c>
      <c r="D71" t="s">
        <v>9</v>
      </c>
      <c r="E71">
        <v>1</v>
      </c>
      <c r="F71" s="4">
        <v>100</v>
      </c>
      <c r="G71" s="5">
        <f>vendas[[#This Row],[Quantidade]]*vendas[[#This Row],[Preco_Unitario]]</f>
        <v>100</v>
      </c>
    </row>
    <row r="72" spans="1:7" x14ac:dyDescent="0.25">
      <c r="A72">
        <v>71</v>
      </c>
      <c r="B72" s="1">
        <v>45728</v>
      </c>
      <c r="C72" t="s">
        <v>8</v>
      </c>
      <c r="D72" t="s">
        <v>10</v>
      </c>
      <c r="E72">
        <v>4</v>
      </c>
      <c r="F72" s="4">
        <v>200</v>
      </c>
      <c r="G72" s="5">
        <f>vendas[[#This Row],[Quantidade]]*vendas[[#This Row],[Preco_Unitario]]</f>
        <v>800</v>
      </c>
    </row>
    <row r="73" spans="1:7" hidden="1" x14ac:dyDescent="0.25">
      <c r="A73">
        <v>72</v>
      </c>
      <c r="B73" s="1">
        <v>45772</v>
      </c>
      <c r="C73" t="s">
        <v>6</v>
      </c>
      <c r="D73" t="s">
        <v>7</v>
      </c>
      <c r="E73">
        <v>2</v>
      </c>
      <c r="F73" s="4">
        <v>300</v>
      </c>
      <c r="G73" s="5">
        <f>vendas[[#This Row],[Quantidade]]*vendas[[#This Row],[Preco_Unitario]]</f>
        <v>600</v>
      </c>
    </row>
    <row r="74" spans="1:7" hidden="1" x14ac:dyDescent="0.25">
      <c r="A74">
        <v>73</v>
      </c>
      <c r="B74" s="1">
        <v>45785</v>
      </c>
      <c r="C74" t="s">
        <v>12</v>
      </c>
      <c r="D74" t="s">
        <v>9</v>
      </c>
      <c r="E74">
        <v>3</v>
      </c>
      <c r="F74" s="4">
        <v>100</v>
      </c>
      <c r="G74" s="5">
        <f>vendas[[#This Row],[Quantidade]]*vendas[[#This Row],[Preco_Unitario]]</f>
        <v>300</v>
      </c>
    </row>
    <row r="75" spans="1:7" x14ac:dyDescent="0.25">
      <c r="A75">
        <v>74</v>
      </c>
      <c r="B75" s="1">
        <v>45829</v>
      </c>
      <c r="C75" t="s">
        <v>13</v>
      </c>
      <c r="D75" t="s">
        <v>10</v>
      </c>
      <c r="E75">
        <v>5</v>
      </c>
      <c r="F75" s="4">
        <v>200</v>
      </c>
      <c r="G75" s="5">
        <f>vendas[[#This Row],[Quantidade]]*vendas[[#This Row],[Preco_Unitario]]</f>
        <v>1000</v>
      </c>
    </row>
    <row r="76" spans="1:7" hidden="1" x14ac:dyDescent="0.25">
      <c r="A76">
        <v>75</v>
      </c>
      <c r="B76" s="1">
        <v>45842</v>
      </c>
      <c r="C76" t="s">
        <v>11</v>
      </c>
      <c r="D76" t="s">
        <v>7</v>
      </c>
      <c r="E76">
        <v>1</v>
      </c>
      <c r="F76" s="4">
        <v>300</v>
      </c>
      <c r="G76" s="5">
        <f>vendas[[#This Row],[Quantidade]]*vendas[[#This Row],[Preco_Unitario]]</f>
        <v>300</v>
      </c>
    </row>
    <row r="77" spans="1:7" hidden="1" x14ac:dyDescent="0.25">
      <c r="A77">
        <v>76</v>
      </c>
      <c r="B77" s="1">
        <v>45886</v>
      </c>
      <c r="C77" t="s">
        <v>8</v>
      </c>
      <c r="D77" t="s">
        <v>9</v>
      </c>
      <c r="E77">
        <v>4</v>
      </c>
      <c r="F77" s="4">
        <v>100</v>
      </c>
      <c r="G77" s="5">
        <f>vendas[[#This Row],[Quantidade]]*vendas[[#This Row],[Preco_Unitario]]</f>
        <v>400</v>
      </c>
    </row>
    <row r="78" spans="1:7" x14ac:dyDescent="0.25">
      <c r="A78">
        <v>77</v>
      </c>
      <c r="B78" s="1">
        <v>45929</v>
      </c>
      <c r="C78" t="s">
        <v>6</v>
      </c>
      <c r="D78" t="s">
        <v>10</v>
      </c>
      <c r="E78">
        <v>2</v>
      </c>
      <c r="F78" s="4">
        <v>200</v>
      </c>
      <c r="G78" s="5">
        <f>vendas[[#This Row],[Quantidade]]*vendas[[#This Row],[Preco_Unitario]]</f>
        <v>400</v>
      </c>
    </row>
    <row r="79" spans="1:7" hidden="1" x14ac:dyDescent="0.25">
      <c r="A79">
        <v>78</v>
      </c>
      <c r="B79" s="1">
        <v>45942</v>
      </c>
      <c r="C79" t="s">
        <v>12</v>
      </c>
      <c r="D79" t="s">
        <v>7</v>
      </c>
      <c r="E79">
        <v>3</v>
      </c>
      <c r="F79" s="4">
        <v>300</v>
      </c>
      <c r="G79" s="5">
        <f>vendas[[#This Row],[Quantidade]]*vendas[[#This Row],[Preco_Unitario]]</f>
        <v>900</v>
      </c>
    </row>
    <row r="80" spans="1:7" hidden="1" x14ac:dyDescent="0.25">
      <c r="A80">
        <v>79</v>
      </c>
      <c r="B80" s="1">
        <v>45985</v>
      </c>
      <c r="C80" t="s">
        <v>13</v>
      </c>
      <c r="D80" t="s">
        <v>9</v>
      </c>
      <c r="E80">
        <v>5</v>
      </c>
      <c r="F80" s="4">
        <v>100</v>
      </c>
      <c r="G80" s="5">
        <f>vendas[[#This Row],[Quantidade]]*vendas[[#This Row],[Preco_Unitario]]</f>
        <v>500</v>
      </c>
    </row>
    <row r="81" spans="1:7" x14ac:dyDescent="0.25">
      <c r="A81">
        <v>80</v>
      </c>
      <c r="B81" s="1">
        <v>45998</v>
      </c>
      <c r="C81" t="s">
        <v>11</v>
      </c>
      <c r="D81" t="s">
        <v>10</v>
      </c>
      <c r="E81">
        <v>1</v>
      </c>
      <c r="F81" s="4">
        <v>200</v>
      </c>
      <c r="G81" s="5">
        <f>vendas[[#This Row],[Quantidade]]*vendas[[#This Row],[Preco_Unitario]]</f>
        <v>200</v>
      </c>
    </row>
    <row r="82" spans="1:7" hidden="1" x14ac:dyDescent="0.25">
      <c r="A82">
        <v>81</v>
      </c>
      <c r="B82" s="1">
        <v>45677</v>
      </c>
      <c r="C82" t="s">
        <v>8</v>
      </c>
      <c r="D82" t="s">
        <v>7</v>
      </c>
      <c r="E82">
        <v>4</v>
      </c>
      <c r="F82" s="4">
        <v>300</v>
      </c>
      <c r="G82" s="5">
        <f>vendas[[#This Row],[Quantidade]]*vendas[[#This Row],[Preco_Unitario]]</f>
        <v>1200</v>
      </c>
    </row>
    <row r="83" spans="1:7" hidden="1" x14ac:dyDescent="0.25">
      <c r="A83">
        <v>82</v>
      </c>
      <c r="B83" s="1">
        <v>45691</v>
      </c>
      <c r="C83" t="s">
        <v>6</v>
      </c>
      <c r="D83" t="s">
        <v>9</v>
      </c>
      <c r="E83">
        <v>2</v>
      </c>
      <c r="F83" s="4">
        <v>100</v>
      </c>
      <c r="G83" s="5">
        <f>vendas[[#This Row],[Quantidade]]*vendas[[#This Row],[Preco_Unitario]]</f>
        <v>200</v>
      </c>
    </row>
    <row r="84" spans="1:7" x14ac:dyDescent="0.25">
      <c r="A84">
        <v>83</v>
      </c>
      <c r="B84" s="1">
        <v>45732</v>
      </c>
      <c r="C84" t="s">
        <v>12</v>
      </c>
      <c r="D84" t="s">
        <v>10</v>
      </c>
      <c r="E84">
        <v>3</v>
      </c>
      <c r="F84" s="4">
        <v>200</v>
      </c>
      <c r="G84" s="5">
        <f>vendas[[#This Row],[Quantidade]]*vendas[[#This Row],[Preco_Unitario]]</f>
        <v>600</v>
      </c>
    </row>
    <row r="85" spans="1:7" hidden="1" x14ac:dyDescent="0.25">
      <c r="A85">
        <v>84</v>
      </c>
      <c r="B85" s="1">
        <v>45775</v>
      </c>
      <c r="C85" t="s">
        <v>13</v>
      </c>
      <c r="D85" t="s">
        <v>7</v>
      </c>
      <c r="E85">
        <v>5</v>
      </c>
      <c r="F85" s="4">
        <v>300</v>
      </c>
      <c r="G85" s="5">
        <f>vendas[[#This Row],[Quantidade]]*vendas[[#This Row],[Preco_Unitario]]</f>
        <v>1500</v>
      </c>
    </row>
    <row r="86" spans="1:7" hidden="1" x14ac:dyDescent="0.25">
      <c r="A86">
        <v>85</v>
      </c>
      <c r="B86" s="1">
        <v>45788</v>
      </c>
      <c r="C86" t="s">
        <v>11</v>
      </c>
      <c r="D86" t="s">
        <v>9</v>
      </c>
      <c r="E86">
        <v>1</v>
      </c>
      <c r="F86" s="4">
        <v>100</v>
      </c>
      <c r="G86" s="5">
        <f>vendas[[#This Row],[Quantidade]]*vendas[[#This Row],[Preco_Unitario]]</f>
        <v>100</v>
      </c>
    </row>
    <row r="87" spans="1:7" x14ac:dyDescent="0.25">
      <c r="A87">
        <v>86</v>
      </c>
      <c r="B87" s="1">
        <v>45832</v>
      </c>
      <c r="C87" t="s">
        <v>8</v>
      </c>
      <c r="D87" t="s">
        <v>10</v>
      </c>
      <c r="E87">
        <v>4</v>
      </c>
      <c r="F87" s="4">
        <v>200</v>
      </c>
      <c r="G87" s="5">
        <f>vendas[[#This Row],[Quantidade]]*vendas[[#This Row],[Preco_Unitario]]</f>
        <v>800</v>
      </c>
    </row>
    <row r="88" spans="1:7" hidden="1" x14ac:dyDescent="0.25">
      <c r="A88">
        <v>87</v>
      </c>
      <c r="B88" s="1">
        <v>45845</v>
      </c>
      <c r="C88" t="s">
        <v>6</v>
      </c>
      <c r="D88" t="s">
        <v>7</v>
      </c>
      <c r="E88">
        <v>2</v>
      </c>
      <c r="F88" s="4">
        <v>300</v>
      </c>
      <c r="G88" s="5">
        <f>vendas[[#This Row],[Quantidade]]*vendas[[#This Row],[Preco_Unitario]]</f>
        <v>600</v>
      </c>
    </row>
    <row r="89" spans="1:7" hidden="1" x14ac:dyDescent="0.25">
      <c r="A89">
        <v>88</v>
      </c>
      <c r="B89" s="1">
        <v>45889</v>
      </c>
      <c r="C89" t="s">
        <v>12</v>
      </c>
      <c r="D89" t="s">
        <v>9</v>
      </c>
      <c r="E89">
        <v>3</v>
      </c>
      <c r="F89" s="4">
        <v>100</v>
      </c>
      <c r="G89" s="5">
        <f>vendas[[#This Row],[Quantidade]]*vendas[[#This Row],[Preco_Unitario]]</f>
        <v>300</v>
      </c>
    </row>
    <row r="90" spans="1:7" x14ac:dyDescent="0.25">
      <c r="A90">
        <v>89</v>
      </c>
      <c r="B90" s="1">
        <v>45902</v>
      </c>
      <c r="C90" t="s">
        <v>13</v>
      </c>
      <c r="D90" t="s">
        <v>10</v>
      </c>
      <c r="E90">
        <v>5</v>
      </c>
      <c r="F90" s="4">
        <v>200</v>
      </c>
      <c r="G90" s="5">
        <f>vendas[[#This Row],[Quantidade]]*vendas[[#This Row],[Preco_Unitario]]</f>
        <v>1000</v>
      </c>
    </row>
    <row r="91" spans="1:7" hidden="1" x14ac:dyDescent="0.25">
      <c r="A91">
        <v>90</v>
      </c>
      <c r="B91" s="1">
        <v>45945</v>
      </c>
      <c r="C91" t="s">
        <v>11</v>
      </c>
      <c r="D91" t="s">
        <v>7</v>
      </c>
      <c r="E91">
        <v>1</v>
      </c>
      <c r="F91" s="4">
        <v>300</v>
      </c>
      <c r="G91" s="5">
        <f>vendas[[#This Row],[Quantidade]]*vendas[[#This Row],[Preco_Unitario]]</f>
        <v>300</v>
      </c>
    </row>
    <row r="92" spans="1:7" hidden="1" x14ac:dyDescent="0.25">
      <c r="A92">
        <v>91</v>
      </c>
      <c r="B92" s="1">
        <v>45989</v>
      </c>
      <c r="C92" t="s">
        <v>8</v>
      </c>
      <c r="D92" t="s">
        <v>9</v>
      </c>
      <c r="E92">
        <v>4</v>
      </c>
      <c r="F92" s="4">
        <v>100</v>
      </c>
      <c r="G92" s="5">
        <f>vendas[[#This Row],[Quantidade]]*vendas[[#This Row],[Preco_Unitario]]</f>
        <v>400</v>
      </c>
    </row>
    <row r="93" spans="1:7" x14ac:dyDescent="0.25">
      <c r="A93">
        <v>92</v>
      </c>
      <c r="B93" s="1">
        <v>46002</v>
      </c>
      <c r="C93" t="s">
        <v>6</v>
      </c>
      <c r="D93" t="s">
        <v>10</v>
      </c>
      <c r="E93">
        <v>2</v>
      </c>
      <c r="F93" s="4">
        <v>200</v>
      </c>
      <c r="G93" s="5">
        <f>vendas[[#This Row],[Quantidade]]*vendas[[#This Row],[Preco_Unitario]]</f>
        <v>400</v>
      </c>
    </row>
    <row r="94" spans="1:7" hidden="1" x14ac:dyDescent="0.25">
      <c r="A94">
        <v>93</v>
      </c>
      <c r="B94" s="1">
        <v>45681</v>
      </c>
      <c r="C94" t="s">
        <v>12</v>
      </c>
      <c r="D94" t="s">
        <v>7</v>
      </c>
      <c r="E94">
        <v>3</v>
      </c>
      <c r="F94" s="4">
        <v>300</v>
      </c>
      <c r="G94" s="5">
        <f>vendas[[#This Row],[Quantidade]]*vendas[[#This Row],[Preco_Unitario]]</f>
        <v>900</v>
      </c>
    </row>
    <row r="95" spans="1:7" hidden="1" x14ac:dyDescent="0.25">
      <c r="A95">
        <v>94</v>
      </c>
      <c r="B95" s="1">
        <v>45694</v>
      </c>
      <c r="C95" t="s">
        <v>13</v>
      </c>
      <c r="D95" t="s">
        <v>9</v>
      </c>
      <c r="E95">
        <v>5</v>
      </c>
      <c r="F95" s="4">
        <v>100</v>
      </c>
      <c r="G95" s="5">
        <f>vendas[[#This Row],[Quantidade]]*vendas[[#This Row],[Preco_Unitario]]</f>
        <v>500</v>
      </c>
    </row>
    <row r="96" spans="1:7" x14ac:dyDescent="0.25">
      <c r="A96">
        <v>95</v>
      </c>
      <c r="B96" s="1">
        <v>45735</v>
      </c>
      <c r="C96" t="s">
        <v>11</v>
      </c>
      <c r="D96" t="s">
        <v>10</v>
      </c>
      <c r="E96">
        <v>1</v>
      </c>
      <c r="F96" s="4">
        <v>200</v>
      </c>
      <c r="G96" s="5">
        <f>vendas[[#This Row],[Quantidade]]*vendas[[#This Row],[Preco_Unitario]]</f>
        <v>200</v>
      </c>
    </row>
    <row r="97" spans="1:7" hidden="1" x14ac:dyDescent="0.25">
      <c r="A97">
        <v>96</v>
      </c>
      <c r="B97" s="1">
        <v>45748</v>
      </c>
      <c r="C97" t="s">
        <v>8</v>
      </c>
      <c r="D97" t="s">
        <v>7</v>
      </c>
      <c r="E97">
        <v>4</v>
      </c>
      <c r="F97" s="4">
        <v>300</v>
      </c>
      <c r="G97" s="5">
        <f>vendas[[#This Row],[Quantidade]]*vendas[[#This Row],[Preco_Unitario]]</f>
        <v>1200</v>
      </c>
    </row>
    <row r="98" spans="1:7" hidden="1" x14ac:dyDescent="0.25">
      <c r="A98">
        <v>97</v>
      </c>
      <c r="B98" s="1">
        <v>45791</v>
      </c>
      <c r="C98" t="s">
        <v>6</v>
      </c>
      <c r="D98" t="s">
        <v>9</v>
      </c>
      <c r="E98">
        <v>2</v>
      </c>
      <c r="F98" s="4">
        <v>100</v>
      </c>
      <c r="G98" s="5">
        <f>vendas[[#This Row],[Quantidade]]*vendas[[#This Row],[Preco_Unitario]]</f>
        <v>200</v>
      </c>
    </row>
    <row r="99" spans="1:7" x14ac:dyDescent="0.25">
      <c r="A99">
        <v>98</v>
      </c>
      <c r="B99" s="1">
        <v>45835</v>
      </c>
      <c r="C99" t="s">
        <v>12</v>
      </c>
      <c r="D99" t="s">
        <v>10</v>
      </c>
      <c r="E99">
        <v>3</v>
      </c>
      <c r="F99" s="4">
        <v>200</v>
      </c>
      <c r="G99" s="5">
        <f>vendas[[#This Row],[Quantidade]]*vendas[[#This Row],[Preco_Unitario]]</f>
        <v>600</v>
      </c>
    </row>
    <row r="100" spans="1:7" hidden="1" x14ac:dyDescent="0.25">
      <c r="A100">
        <v>99</v>
      </c>
      <c r="B100" s="1">
        <v>45848</v>
      </c>
      <c r="C100" t="s">
        <v>13</v>
      </c>
      <c r="D100" t="s">
        <v>7</v>
      </c>
      <c r="E100">
        <v>5</v>
      </c>
      <c r="F100" s="4">
        <v>300</v>
      </c>
      <c r="G100" s="5">
        <f>vendas[[#This Row],[Quantidade]]*vendas[[#This Row],[Preco_Unitario]]</f>
        <v>1500</v>
      </c>
    </row>
    <row r="101" spans="1:7" hidden="1" x14ac:dyDescent="0.25">
      <c r="A101">
        <v>100</v>
      </c>
      <c r="B101" s="1">
        <v>45892</v>
      </c>
      <c r="C101" t="s">
        <v>11</v>
      </c>
      <c r="D101" t="s">
        <v>9</v>
      </c>
      <c r="E101">
        <v>1</v>
      </c>
      <c r="F101" s="4">
        <v>100</v>
      </c>
      <c r="G101" s="5">
        <f>vendas[[#This Row],[Quantidade]]*vendas[[#This Row],[Preco_Unitario]]</f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2C1F-7B18-46D4-A43C-7995196B4D3A}">
  <dimension ref="B1:F20"/>
  <sheetViews>
    <sheetView workbookViewId="0">
      <selection activeCell="F9" sqref="F9"/>
    </sheetView>
  </sheetViews>
  <sheetFormatPr defaultRowHeight="15" x14ac:dyDescent="0.25"/>
  <cols>
    <col min="2" max="2" width="18.42578125" bestFit="1" customWidth="1"/>
    <col min="3" max="3" width="18.85546875" bestFit="1" customWidth="1"/>
    <col min="4" max="4" width="19.85546875" bestFit="1" customWidth="1"/>
    <col min="5" max="5" width="5" bestFit="1" customWidth="1"/>
    <col min="6" max="6" width="13" bestFit="1" customWidth="1"/>
    <col min="7" max="7" width="5" bestFit="1" customWidth="1"/>
    <col min="8" max="8" width="10.7109375" bestFit="1" customWidth="1"/>
    <col min="9" max="9" width="4" bestFit="1" customWidth="1"/>
    <col min="10" max="10" width="6.85546875" bestFit="1" customWidth="1"/>
    <col min="11" max="13" width="4" bestFit="1" customWidth="1"/>
    <col min="14" max="14" width="6.85546875" bestFit="1" customWidth="1"/>
    <col min="15" max="17" width="4" bestFit="1" customWidth="1"/>
    <col min="18" max="18" width="6.85546875" bestFit="1" customWidth="1"/>
    <col min="19" max="21" width="4" bestFit="1" customWidth="1"/>
    <col min="22" max="22" width="6.85546875" bestFit="1" customWidth="1"/>
    <col min="23" max="23" width="10.7109375" bestFit="1" customWidth="1"/>
  </cols>
  <sheetData>
    <row r="1" spans="2:6" x14ac:dyDescent="0.25">
      <c r="B1" s="2" t="s">
        <v>3</v>
      </c>
      <c r="C1" t="s">
        <v>7</v>
      </c>
    </row>
    <row r="3" spans="2:6" x14ac:dyDescent="0.25">
      <c r="B3" s="2" t="s">
        <v>14</v>
      </c>
      <c r="C3" t="s">
        <v>17</v>
      </c>
    </row>
    <row r="4" spans="2:6" x14ac:dyDescent="0.25">
      <c r="B4" s="3" t="s">
        <v>13</v>
      </c>
      <c r="C4" s="5">
        <v>10200</v>
      </c>
    </row>
    <row r="5" spans="2:6" x14ac:dyDescent="0.25">
      <c r="B5" s="3" t="s">
        <v>6</v>
      </c>
      <c r="C5" s="5">
        <v>4500</v>
      </c>
    </row>
    <row r="6" spans="2:6" x14ac:dyDescent="0.25">
      <c r="B6" s="3" t="s">
        <v>12</v>
      </c>
      <c r="C6" s="5">
        <v>4500</v>
      </c>
    </row>
    <row r="7" spans="2:6" x14ac:dyDescent="0.25">
      <c r="B7" s="3" t="s">
        <v>11</v>
      </c>
      <c r="C7" s="5">
        <v>2700</v>
      </c>
    </row>
    <row r="8" spans="2:6" x14ac:dyDescent="0.25">
      <c r="B8" s="3" t="s">
        <v>8</v>
      </c>
      <c r="C8" s="5">
        <v>7200</v>
      </c>
    </row>
    <row r="9" spans="2:6" x14ac:dyDescent="0.25">
      <c r="B9" s="3" t="s">
        <v>15</v>
      </c>
      <c r="C9" s="5">
        <v>29100</v>
      </c>
      <c r="F9" s="4">
        <f>GETPIVOTDATA("Valor Total",$B$3)</f>
        <v>29100</v>
      </c>
    </row>
    <row r="10" spans="2:6" x14ac:dyDescent="0.25">
      <c r="B10" s="3"/>
      <c r="C10" s="5"/>
    </row>
    <row r="11" spans="2:6" x14ac:dyDescent="0.25">
      <c r="B11" s="2" t="s">
        <v>3</v>
      </c>
      <c r="C11" t="s">
        <v>7</v>
      </c>
    </row>
    <row r="13" spans="2:6" x14ac:dyDescent="0.25">
      <c r="B13" s="2" t="s">
        <v>14</v>
      </c>
      <c r="C13" t="s">
        <v>17</v>
      </c>
    </row>
    <row r="14" spans="2:6" x14ac:dyDescent="0.25">
      <c r="B14" s="3" t="s">
        <v>18</v>
      </c>
      <c r="C14" s="5">
        <v>6600</v>
      </c>
    </row>
    <row r="15" spans="2:6" x14ac:dyDescent="0.25">
      <c r="B15" s="3" t="s">
        <v>19</v>
      </c>
      <c r="C15" s="5">
        <v>7200</v>
      </c>
    </row>
    <row r="16" spans="2:6" x14ac:dyDescent="0.25">
      <c r="B16" s="3" t="s">
        <v>20</v>
      </c>
      <c r="C16" s="5">
        <v>6300</v>
      </c>
    </row>
    <row r="17" spans="2:3" x14ac:dyDescent="0.25">
      <c r="B17" s="3" t="s">
        <v>21</v>
      </c>
      <c r="C17" s="5">
        <v>1500</v>
      </c>
    </row>
    <row r="18" spans="2:3" x14ac:dyDescent="0.25">
      <c r="B18" s="3" t="s">
        <v>22</v>
      </c>
      <c r="C18" s="5">
        <v>6300</v>
      </c>
    </row>
    <row r="19" spans="2:3" x14ac:dyDescent="0.25">
      <c r="B19" s="3" t="s">
        <v>23</v>
      </c>
      <c r="C19" s="5">
        <v>1200</v>
      </c>
    </row>
    <row r="20" spans="2:3" x14ac:dyDescent="0.25">
      <c r="B20" s="3" t="s">
        <v>15</v>
      </c>
      <c r="C20" s="5">
        <v>29100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CFDD-ADB9-48BA-908E-B5B2A9C43C0D}">
  <dimension ref="A1:W40"/>
  <sheetViews>
    <sheetView tabSelected="1" workbookViewId="0">
      <selection activeCell="E13" sqref="E13"/>
    </sheetView>
  </sheetViews>
  <sheetFormatPr defaultRowHeight="15" x14ac:dyDescent="0.25"/>
  <cols>
    <col min="1" max="1" width="6.7109375" style="6" customWidth="1"/>
    <col min="2" max="3" width="9.140625" style="6"/>
    <col min="4" max="4" width="13.42578125" style="6" customWidth="1"/>
    <col min="5" max="5" width="18.42578125" style="8" bestFit="1" customWidth="1"/>
    <col min="6" max="6" width="13.42578125" style="8" bestFit="1" customWidth="1"/>
    <col min="7" max="7" width="25.85546875" style="8" bestFit="1" customWidth="1"/>
    <col min="8" max="23" width="9.140625" style="8"/>
  </cols>
  <sheetData>
    <row r="1" spans="1:16" x14ac:dyDescent="0.25">
      <c r="A1" s="7"/>
      <c r="B1" s="7"/>
      <c r="C1" s="7"/>
      <c r="D1" s="7"/>
    </row>
    <row r="2" spans="1:16" x14ac:dyDescent="0.25">
      <c r="A2" s="7"/>
      <c r="B2" s="7"/>
      <c r="C2" s="7"/>
      <c r="D2" s="7"/>
    </row>
    <row r="3" spans="1:16" ht="26.25" x14ac:dyDescent="0.4">
      <c r="A3" s="7"/>
      <c r="B3" s="7"/>
      <c r="C3" s="7"/>
      <c r="D3" s="7"/>
      <c r="F3" s="13" t="s">
        <v>24</v>
      </c>
      <c r="G3" s="13"/>
      <c r="H3" s="13"/>
      <c r="I3" s="13"/>
      <c r="J3" s="13"/>
      <c r="K3" s="13"/>
      <c r="L3" s="14">
        <f>calculos!F9</f>
        <v>29100</v>
      </c>
      <c r="M3" s="14"/>
      <c r="N3" s="14"/>
      <c r="O3" s="14"/>
      <c r="P3" s="14"/>
    </row>
    <row r="4" spans="1:16" x14ac:dyDescent="0.25">
      <c r="A4" s="7"/>
      <c r="B4" s="7"/>
      <c r="C4" s="7"/>
      <c r="D4" s="7"/>
    </row>
    <row r="5" spans="1:16" x14ac:dyDescent="0.25">
      <c r="A5" s="7"/>
      <c r="B5" s="7"/>
      <c r="C5" s="7"/>
      <c r="D5" s="7"/>
    </row>
    <row r="6" spans="1:16" x14ac:dyDescent="0.25">
      <c r="A6" s="7"/>
      <c r="B6" s="7"/>
      <c r="C6" s="7"/>
      <c r="D6" s="7"/>
    </row>
    <row r="7" spans="1:16" x14ac:dyDescent="0.25">
      <c r="A7" s="7"/>
      <c r="B7" s="7"/>
      <c r="C7" s="7"/>
      <c r="D7" s="7"/>
    </row>
    <row r="8" spans="1:16" ht="21" x14ac:dyDescent="0.35">
      <c r="A8" s="7"/>
      <c r="B8" s="7"/>
      <c r="C8" s="7"/>
      <c r="D8" s="7"/>
      <c r="F8" s="10" t="s">
        <v>25</v>
      </c>
      <c r="I8" s="10" t="s">
        <v>26</v>
      </c>
    </row>
    <row r="9" spans="1:16" x14ac:dyDescent="0.25">
      <c r="A9" s="7"/>
      <c r="B9" s="7"/>
      <c r="C9" s="7"/>
      <c r="D9" s="7"/>
    </row>
    <row r="10" spans="1:16" x14ac:dyDescent="0.25">
      <c r="A10" s="7"/>
      <c r="B10" s="7"/>
      <c r="C10" s="7"/>
      <c r="D10" s="7"/>
    </row>
    <row r="11" spans="1:16" ht="18.75" x14ac:dyDescent="0.3">
      <c r="A11" s="7"/>
      <c r="B11" s="7"/>
      <c r="C11" s="7"/>
      <c r="D11" s="7"/>
      <c r="F11" s="9"/>
      <c r="G11" s="9" t="s">
        <v>27</v>
      </c>
    </row>
    <row r="12" spans="1:16" ht="18.75" x14ac:dyDescent="0.3">
      <c r="A12" s="7"/>
      <c r="B12" s="7"/>
      <c r="C12" s="7"/>
      <c r="D12" s="7"/>
      <c r="F12" s="11" t="s">
        <v>13</v>
      </c>
      <c r="G12" s="12">
        <v>10200</v>
      </c>
    </row>
    <row r="13" spans="1:16" ht="18.75" x14ac:dyDescent="0.3">
      <c r="A13" s="7"/>
      <c r="B13" s="7"/>
      <c r="C13" s="7"/>
      <c r="D13" s="7"/>
      <c r="F13" s="11" t="s">
        <v>6</v>
      </c>
      <c r="G13" s="12">
        <v>4500</v>
      </c>
    </row>
    <row r="14" spans="1:16" ht="18.75" x14ac:dyDescent="0.3">
      <c r="A14" s="7"/>
      <c r="B14" s="7"/>
      <c r="C14" s="7"/>
      <c r="D14" s="7"/>
      <c r="F14" s="11" t="s">
        <v>12</v>
      </c>
      <c r="G14" s="12">
        <v>4500</v>
      </c>
    </row>
    <row r="15" spans="1:16" ht="18.75" x14ac:dyDescent="0.3">
      <c r="A15" s="7"/>
      <c r="B15" s="7"/>
      <c r="C15" s="7"/>
      <c r="D15" s="7"/>
      <c r="F15" s="11" t="s">
        <v>11</v>
      </c>
      <c r="G15" s="12">
        <v>2700</v>
      </c>
    </row>
    <row r="16" spans="1:16" ht="18.75" x14ac:dyDescent="0.3">
      <c r="A16" s="7"/>
      <c r="B16" s="7"/>
      <c r="C16" s="7"/>
      <c r="D16" s="7"/>
      <c r="F16" s="11" t="s">
        <v>8</v>
      </c>
      <c r="G16" s="12">
        <v>7200</v>
      </c>
    </row>
    <row r="17" spans="1:7" ht="18.75" x14ac:dyDescent="0.3">
      <c r="A17" s="7"/>
      <c r="B17" s="7"/>
      <c r="C17" s="7"/>
      <c r="D17" s="7"/>
      <c r="F17" s="11" t="s">
        <v>15</v>
      </c>
      <c r="G17" s="12">
        <v>29100</v>
      </c>
    </row>
    <row r="18" spans="1:7" x14ac:dyDescent="0.25">
      <c r="A18" s="7"/>
      <c r="B18" s="7"/>
      <c r="C18" s="7"/>
      <c r="D18" s="7"/>
    </row>
    <row r="19" spans="1:7" x14ac:dyDescent="0.25">
      <c r="A19" s="7"/>
      <c r="B19" s="7"/>
      <c r="C19" s="7"/>
      <c r="D19" s="7"/>
    </row>
    <row r="20" spans="1:7" x14ac:dyDescent="0.25">
      <c r="A20" s="7"/>
      <c r="B20" s="7"/>
      <c r="C20" s="7"/>
      <c r="D20" s="7"/>
    </row>
    <row r="21" spans="1:7" x14ac:dyDescent="0.25">
      <c r="A21" s="7"/>
      <c r="B21" s="7"/>
      <c r="C21" s="7"/>
      <c r="D21" s="7"/>
    </row>
    <row r="22" spans="1:7" x14ac:dyDescent="0.25">
      <c r="A22" s="7"/>
      <c r="B22" s="7"/>
      <c r="C22" s="7"/>
      <c r="D22" s="7"/>
    </row>
    <row r="23" spans="1:7" x14ac:dyDescent="0.25">
      <c r="A23" s="7"/>
      <c r="B23" s="7"/>
      <c r="C23" s="7"/>
      <c r="D23" s="7"/>
    </row>
    <row r="24" spans="1:7" x14ac:dyDescent="0.25">
      <c r="A24" s="7"/>
      <c r="B24" s="7"/>
      <c r="C24" s="7"/>
      <c r="D24" s="7"/>
    </row>
    <row r="25" spans="1:7" x14ac:dyDescent="0.25">
      <c r="A25" s="7"/>
      <c r="B25" s="7"/>
      <c r="C25" s="7"/>
      <c r="D25" s="7"/>
    </row>
    <row r="26" spans="1:7" x14ac:dyDescent="0.25">
      <c r="A26" s="7"/>
      <c r="B26" s="7"/>
      <c r="C26" s="7"/>
      <c r="D26" s="7"/>
    </row>
    <row r="27" spans="1:7" x14ac:dyDescent="0.25">
      <c r="A27" s="7"/>
      <c r="B27" s="7"/>
      <c r="C27" s="7"/>
      <c r="D27" s="7"/>
    </row>
    <row r="28" spans="1:7" x14ac:dyDescent="0.25">
      <c r="A28" s="7"/>
      <c r="B28" s="7"/>
      <c r="C28" s="7"/>
      <c r="D28" s="7"/>
    </row>
    <row r="29" spans="1:7" x14ac:dyDescent="0.25">
      <c r="A29" s="7"/>
      <c r="B29" s="7"/>
      <c r="C29" s="7"/>
      <c r="D29" s="7"/>
    </row>
    <row r="30" spans="1:7" x14ac:dyDescent="0.25">
      <c r="A30" s="7"/>
      <c r="B30" s="7"/>
      <c r="C30" s="7"/>
      <c r="D30" s="7"/>
    </row>
    <row r="31" spans="1:7" x14ac:dyDescent="0.25">
      <c r="A31" s="7"/>
      <c r="B31" s="7"/>
      <c r="C31" s="7"/>
      <c r="D31" s="7"/>
    </row>
    <row r="32" spans="1:7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</sheetData>
  <mergeCells count="2">
    <mergeCell ref="L3:P3"/>
    <mergeCell ref="F3:K3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5B380-1A91-42C1-8661-F508C4DCF4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Iwamizu</dc:creator>
  <cp:lastModifiedBy>Fernando Iwamizu</cp:lastModifiedBy>
  <dcterms:created xsi:type="dcterms:W3CDTF">2026-01-13T01:37:28Z</dcterms:created>
  <dcterms:modified xsi:type="dcterms:W3CDTF">2026-01-13T18:15:21Z</dcterms:modified>
</cp:coreProperties>
</file>